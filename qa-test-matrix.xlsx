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"/>
    </mc:Choice>
  </mc:AlternateContent>
  <xr:revisionPtr revIDLastSave="0" documentId="13_ncr:1_{8E0096B5-9196-48BC-93E5-332958FA7074}" xr6:coauthVersionLast="47" xr6:coauthVersionMax="47" xr10:uidLastSave="{00000000-0000-0000-0000-000000000000}"/>
  <bookViews>
    <workbookView xWindow="2865" yWindow="1140" windowWidth="29730" windowHeight="14400" tabRatio="500" xr2:uid="{00000000-000D-0000-FFFF-FFFF00000000}"/>
  </bookViews>
  <sheets>
    <sheet name="Dashboard" sheetId="1" r:id="rId1"/>
    <sheet name="Instrucciones" sheetId="2" r:id="rId2"/>
    <sheet name="Requisitos" sheetId="3" r:id="rId3"/>
    <sheet name="Matriz de Trazabilidad" sheetId="4" r:id="rId4"/>
    <sheet name="Casos de Prueba" sheetId="5" r:id="rId5"/>
    <sheet name="Bitácora de Bugs" sheetId="6" r:id="rId6"/>
  </sheets>
  <definedNames>
    <definedName name="_xlnm._FilterDatabase" localSheetId="3" hidden="1">'Matriz de Trazabilidad'!$A$1:$D$12</definedName>
    <definedName name="_xlnm._FilterDatabase" localSheetId="2" hidden="1">Requisitos!$A$1:$C$12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C13" i="4"/>
  <c r="D13" i="4" s="1"/>
  <c r="C12" i="4"/>
  <c r="C11" i="4"/>
  <c r="C10" i="4"/>
  <c r="C9" i="4"/>
  <c r="C8" i="4"/>
  <c r="C7" i="4"/>
  <c r="C6" i="4"/>
  <c r="C5" i="4"/>
  <c r="C4" i="4"/>
  <c r="C3" i="4"/>
  <c r="C2" i="4"/>
  <c r="B8" i="1"/>
  <c r="B7" i="1"/>
  <c r="B6" i="1"/>
  <c r="B5" i="1"/>
  <c r="B4" i="1"/>
  <c r="J3" i="6"/>
  <c r="J4" i="6"/>
  <c r="J5" i="6"/>
  <c r="J6" i="6"/>
  <c r="J7" i="6"/>
  <c r="J8" i="6"/>
  <c r="J9" i="6"/>
  <c r="C3" i="6"/>
  <c r="C4" i="6"/>
  <c r="C5" i="6"/>
  <c r="C6" i="6"/>
  <c r="C7" i="6"/>
  <c r="C8" i="6"/>
  <c r="C9" i="6"/>
  <c r="J2" i="6"/>
  <c r="M3" i="6"/>
  <c r="M4" i="6"/>
  <c r="M5" i="6"/>
  <c r="M6" i="6"/>
  <c r="M7" i="6"/>
  <c r="M8" i="6"/>
  <c r="M9" i="6"/>
  <c r="M2" i="6"/>
  <c r="L3" i="6"/>
  <c r="L4" i="6"/>
  <c r="L5" i="6"/>
  <c r="L6" i="6"/>
  <c r="L7" i="6"/>
  <c r="L8" i="6"/>
  <c r="L9" i="6"/>
  <c r="L2" i="6"/>
  <c r="K3" i="6"/>
  <c r="K4" i="6"/>
  <c r="K5" i="6"/>
  <c r="K6" i="6"/>
  <c r="K7" i="6"/>
  <c r="K8" i="6"/>
  <c r="K9" i="6"/>
  <c r="K2" i="6"/>
  <c r="F3" i="6"/>
  <c r="F4" i="6"/>
  <c r="F5" i="6"/>
  <c r="F6" i="6"/>
  <c r="F7" i="6"/>
  <c r="F8" i="6"/>
  <c r="F9" i="6"/>
  <c r="F2" i="6"/>
  <c r="C2" i="6"/>
  <c r="D3" i="6"/>
  <c r="D4" i="6"/>
  <c r="D5" i="6"/>
  <c r="D6" i="6"/>
  <c r="D7" i="6"/>
  <c r="D8" i="6"/>
  <c r="D9" i="6"/>
  <c r="D2" i="6"/>
  <c r="B2" i="4"/>
  <c r="B3" i="4"/>
  <c r="B4" i="4"/>
  <c r="B5" i="4"/>
  <c r="B6" i="4"/>
  <c r="B7" i="4"/>
  <c r="B8" i="4"/>
  <c r="B9" i="4"/>
  <c r="B10" i="4"/>
  <c r="B11" i="4"/>
  <c r="B12" i="4"/>
  <c r="B13" i="4"/>
  <c r="A13" i="4"/>
  <c r="A12" i="4"/>
  <c r="A11" i="4"/>
  <c r="A10" i="4"/>
  <c r="A9" i="4"/>
  <c r="A8" i="4"/>
  <c r="A7" i="4"/>
  <c r="A6" i="4"/>
  <c r="A5" i="4"/>
  <c r="A4" i="4"/>
  <c r="A3" i="4"/>
  <c r="A2" i="4"/>
  <c r="D11" i="4" l="1"/>
  <c r="D5" i="4"/>
  <c r="D10" i="4"/>
  <c r="D9" i="4"/>
  <c r="D8" i="4"/>
  <c r="D6" i="4"/>
  <c r="D3" i="4"/>
  <c r="D2" i="4"/>
  <c r="D12" i="4"/>
  <c r="D7" i="4"/>
  <c r="D4" i="4"/>
  <c r="B9" i="1"/>
</calcChain>
</file>

<file path=xl/sharedStrings.xml><?xml version="1.0" encoding="utf-8"?>
<sst xmlns="http://schemas.openxmlformats.org/spreadsheetml/2006/main" count="562" uniqueCount="238">
  <si>
    <t>Resumen de Casos de Prueba</t>
  </si>
  <si>
    <t>Total de casos diseñados</t>
  </si>
  <si>
    <t>Pass</t>
  </si>
  <si>
    <t>Fail</t>
  </si>
  <si>
    <t>Bloqueado</t>
  </si>
  <si>
    <t>No ejecutado</t>
  </si>
  <si>
    <t>% de aprobación (Pass / (Pass+Fail))</t>
  </si>
  <si>
    <t>Resumen de Bugs</t>
  </si>
  <si>
    <t>Total de bugs registrados</t>
  </si>
  <si>
    <t>Críticos</t>
  </si>
  <si>
    <t>Altos</t>
  </si>
  <si>
    <t>Medios</t>
  </si>
  <si>
    <t>Bajos</t>
  </si>
  <si>
    <t>Bugs abiertos</t>
  </si>
  <si>
    <t>Portafolio QA — Proyecto 2 (versión Excel) — Sauce Demo</t>
  </si>
  <si>
    <t>Este workbook reemplaza la versión en código del proyecto 2, usando hojas de cálculo como</t>
  </si>
  <si>
    <t>herramienta principal de diseño y seguimiento de pruebas.</t>
  </si>
  <si>
    <t>ORDEN DE LAS HOJAS:</t>
  </si>
  <si>
    <t>1. Requisitos — lista de requisitos funcionales del sitio bajo prueba.</t>
  </si>
  <si>
    <t>2. Matriz de Trazabilidad — vincula cada requisito con sus casos de prueba (se calcula sola).</t>
  </si>
  <si>
    <t>3. Casos de Prueba — el módulo de Login ya está diseñado como ejemplo de referencia.</t>
  </si>
  <si>
    <t xml:space="preserve">   Los módulos de Inventory, Cart y Checkout están marcados pero vacíos: ahí diseñas tú los</t>
  </si>
  <si>
    <t xml:space="preserve">   casos, siguiendo el mismo formato de columnas que ves en Login.</t>
  </si>
  <si>
    <t>4. Bitácora de Bugs — vacía salvo una fila de ejemplo en gris cursiva (bórrala o reemplázala).</t>
  </si>
  <si>
    <t>5. Dashboard — se actualiza solo mediante fórmulas a partir de lo que llenes en las otras hojas.</t>
  </si>
  <si>
    <t>QUÉ EDITAR TÚ:</t>
  </si>
  <si>
    <t>- En Casos de Prueba: agrega tus propios renglones bajo cada divisor de módulo (mismo formato</t>
  </si>
  <si>
    <t xml:space="preserve">  de columnas). Cuando ejecutes un caso, llena 'Resultado obtenido', 'Estado', 'No. de Bug' y</t>
  </si>
  <si>
    <t xml:space="preserve">  'Fecha de ejecución'.</t>
  </si>
  <si>
    <t>- En Bitácora de Bugs: agrega una fila por cada defecto real que encuentres.</t>
  </si>
  <si>
    <t>- No necesitas tocar Dashboard ni Matriz de Trazabilidad — se recalculan solos.</t>
  </si>
  <si>
    <t>LEYENDA DE ESTADO (columna 'Estado' en Casos de Prueba):</t>
  </si>
  <si>
    <t>Verde = Pass · Rojo = Fail · Amarillo = Bloqueado · Gris = No ejecutado</t>
  </si>
  <si>
    <t>ID</t>
  </si>
  <si>
    <t>Descripción</t>
  </si>
  <si>
    <t>Módulo relacionado</t>
  </si>
  <si>
    <t>REQ-01</t>
  </si>
  <si>
    <t>El sistema debe permitir el login con credenciales válidas.</t>
  </si>
  <si>
    <t>Login</t>
  </si>
  <si>
    <t>REQ-02</t>
  </si>
  <si>
    <t>El sistema debe bloquear a usuarios marcados como 'locked out', mostrando un mensaje específico.</t>
  </si>
  <si>
    <t>REQ-03</t>
  </si>
  <si>
    <t>El sistema debe rechazar credenciales inválidas o vacías, mostrando un mensaje de error visible.</t>
  </si>
  <si>
    <t>REQ-04</t>
  </si>
  <si>
    <t>El usuario debe poder ordenar el listado de productos por nombre (A-Z, Z-A) y precio (menor-mayor, mayor-menor).</t>
  </si>
  <si>
    <t>Inventory</t>
  </si>
  <si>
    <t>REQ-05</t>
  </si>
  <si>
    <t>El usuario debe poder agregar y quitar productos del carrito desde el listado de inventario.</t>
  </si>
  <si>
    <t>REQ-06</t>
  </si>
  <si>
    <t>El contador (badge) del carrito debe reflejar en todo momento la cantidad correcta de productos agregados.</t>
  </si>
  <si>
    <t>REQ-07</t>
  </si>
  <si>
    <t>El usuario debe poder ver el detalle de un producto al hacer clic en su nombre.</t>
  </si>
  <si>
    <t>REQ-08</t>
  </si>
  <si>
    <t>El carrito debe permitir eliminar productos y continuar hacia el checkout.</t>
  </si>
  <si>
    <t>Cart</t>
  </si>
  <si>
    <t>REQ-09</t>
  </si>
  <si>
    <t>El formulario de checkout debe validar que los campos obligatorios no estén vacíos.</t>
  </si>
  <si>
    <t>Checkout</t>
  </si>
  <si>
    <t>REQ-10</t>
  </si>
  <si>
    <t>El sistema debe calcular correctamente el total de la compra (subtotal + impuesto).</t>
  </si>
  <si>
    <t>REQ-11</t>
  </si>
  <si>
    <t>El sistema debe mostrar una confirmación visible al completar la compra exitosamente.</t>
  </si>
  <si>
    <t>Requisito ID</t>
  </si>
  <si>
    <t># Casos de prueba asociados</t>
  </si>
  <si>
    <t>Estado de cobertura</t>
  </si>
  <si>
    <t>Módulo</t>
  </si>
  <si>
    <t>Requisito</t>
  </si>
  <si>
    <t>Técnica</t>
  </si>
  <si>
    <t>Precondición</t>
  </si>
  <si>
    <t>Pasos</t>
  </si>
  <si>
    <t>Resultado esperado</t>
  </si>
  <si>
    <t>Resultado obtenido</t>
  </si>
  <si>
    <t>Estado</t>
  </si>
  <si>
    <t>No. de Bug</t>
  </si>
  <si>
    <t>Prioridad</t>
  </si>
  <si>
    <t>Fecha de ejecución</t>
  </si>
  <si>
    <t>TC-001</t>
  </si>
  <si>
    <t>Clases de equivalencia</t>
  </si>
  <si>
    <t>Estar en /login</t>
  </si>
  <si>
    <t>1. Ingresar 'tomsmith' en usuario
2. Ingresar 'SuperSecretPassword!' en contraseña
3. Clic en Login</t>
  </si>
  <si>
    <t>Acceso concedido, redirección a /inventory.html</t>
  </si>
  <si>
    <t>Alta</t>
  </si>
  <si>
    <t>TC-002</t>
  </si>
  <si>
    <t>Acceso denegado, mensaje de error visible</t>
  </si>
  <si>
    <t>TC-003</t>
  </si>
  <si>
    <t>TC-004</t>
  </si>
  <si>
    <t>1. Dejar ambos campos vacíos
2. Clic en Login</t>
  </si>
  <si>
    <t>Mensaje de validación de campos requeridos</t>
  </si>
  <si>
    <t>Media</t>
  </si>
  <si>
    <t>TC-005</t>
  </si>
  <si>
    <t>Acceso denegado, mensaje de error específico</t>
  </si>
  <si>
    <t>TC-006</t>
  </si>
  <si>
    <t>Exploratoria</t>
  </si>
  <si>
    <t>Baja</t>
  </si>
  <si>
    <t>TC-007</t>
  </si>
  <si>
    <t>1. Ingresar 'locked_out_user' con contraseña válida
2. Clic en Login</t>
  </si>
  <si>
    <t>Acceso denegado con mensaje específico de bloqueo</t>
  </si>
  <si>
    <t>Módulo: Inventory — diseña aquí tus casos (ordenamiento, agregar/quitar del carrito, detalle de producto). Técnica sugerida: clases de equivalencia + exploratoria.</t>
  </si>
  <si>
    <t>Módulo: Cart — diseña aquí tus casos (eliminar productos, continuar a checkout, persistencia del carrito).</t>
  </si>
  <si>
    <t>Módulo: Checkout — diseña aquí tus casos (validación de formulario, cálculo de totales, confirmación). Técnica sugerida: tabla de decisión para combinaciones de campos vacíos.</t>
  </si>
  <si>
    <t>Título</t>
  </si>
  <si>
    <t>Caso de prueba relacionado</t>
  </si>
  <si>
    <t>Severidad</t>
  </si>
  <si>
    <t>URL</t>
  </si>
  <si>
    <t>Navegador</t>
  </si>
  <si>
    <t>Fecha</t>
  </si>
  <si>
    <t>Pasos para reproducir</t>
  </si>
  <si>
    <t>Resultado actual</t>
  </si>
  <si>
    <t>Abierto</t>
  </si>
  <si>
    <t>Dashboard — Portafolio QA (saucedemo.com)</t>
  </si>
  <si>
    <t>Acceso negado, mensaje de alerta "Epic sadface: Username and password do not match any user in this service"</t>
  </si>
  <si>
    <t>BUG-001</t>
  </si>
  <si>
    <t>Módulo: Login</t>
  </si>
  <si>
    <t>TC-008</t>
  </si>
  <si>
    <t>Realizar Login
Estar en /inventory</t>
  </si>
  <si>
    <t>1. Hacer clic en boton del filtros
2. Seleccionar la opcoin "Name (A to Z)"</t>
  </si>
  <si>
    <t xml:space="preserve">Filtro aplicado, los productos se ordenan por orden alfabetico </t>
  </si>
  <si>
    <t>TC-009</t>
  </si>
  <si>
    <t>1. Hacer clic en boton del filtros
2. Seleccionar la opcoin "Name (Z to A)"</t>
  </si>
  <si>
    <t>Filtro aplicado, los productos se ordenan por orden alfabetico inverso</t>
  </si>
  <si>
    <t>TC-010</t>
  </si>
  <si>
    <t>1. Hacer clic en boton del filtros
2. Seleccionar la opcoin "Price (low to high)"</t>
  </si>
  <si>
    <t>Filtro aplicado, los productos se ordenan por precio ascendente</t>
  </si>
  <si>
    <t>TC-011</t>
  </si>
  <si>
    <t>1. Hacer clic en boton del filtros
2. Seleccionar la opcoin "Price (high to low)"</t>
  </si>
  <si>
    <t>Filtro aplicado, los productos se ordenan por precio descendente</t>
  </si>
  <si>
    <t>1. Colocar el puntero sobre nombre del producto</t>
  </si>
  <si>
    <t>El puntero cambia a version de vinculo, el texto cambia de color a uno más claro</t>
  </si>
  <si>
    <t>1. Colocar el puntero sobre foto del producto</t>
  </si>
  <si>
    <t>Producto se agrega al carrito, se muestra "1" como notificación en simbolo de carrito</t>
  </si>
  <si>
    <t>1. Hacer clic en boton "Add to cart" en cualquier producto
2. Hacer clic en boton "Remove" del producto anteriormente agregado</t>
  </si>
  <si>
    <t xml:space="preserve">1. Hacer clic en boton "Add to cart" en cualquier producto </t>
  </si>
  <si>
    <t xml:space="preserve">El producto agregado al carrito se elimina del mismo, la cantidad mostrada en el simbolo carrito disminuye o se elimina </t>
  </si>
  <si>
    <t>1. Hacer clic en boton "Add to cart" en todos los productos disponibles</t>
  </si>
  <si>
    <t>El numero de productos en el carrito debera de incrementar cada vez que se agrega un producto nuevo</t>
  </si>
  <si>
    <t>Valores límite</t>
  </si>
  <si>
    <t>1. Hacer clic en boton "Remove" en todos los productos disponibles</t>
  </si>
  <si>
    <t>El numero de productos en el carrito debera de reducirse cada vez que se elimina un producto hasta desaparecer la notificación</t>
  </si>
  <si>
    <t>La página cambia a /inventory-item.html?id=#, correspondiente al producto seleccionado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</si>
  <si>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</si>
  <si>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</si>
  <si>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</si>
  <si>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</si>
  <si>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</si>
  <si>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</si>
  <si>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</si>
  <si>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</si>
  <si>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</si>
  <si>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</si>
  <si>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1. Hacer clic en nombre del producto</t>
  </si>
  <si>
    <t>1. Hacer clic en foto del producto</t>
  </si>
  <si>
    <t>Realizar Login
Agregar algun producto al carrito</t>
  </si>
  <si>
    <t>1. Hacer clic en el carrito
2. Hacer clic en botón "Remove"</t>
  </si>
  <si>
    <t>El producto agregado se elimina del carrito, se muestra un mensaje "No cuenta con ningun producto"</t>
  </si>
  <si>
    <t>Transición de estados</t>
  </si>
  <si>
    <t>1. Hacer clic en el carrito
2. Hacer clic en botón "Continue Shoping"</t>
  </si>
  <si>
    <t>El producto agregado se mantiene en el carrito</t>
  </si>
  <si>
    <t>1. Hacer clic en botón hamburgesa
2. Hacer clic en opción "Logout"</t>
  </si>
  <si>
    <t>La página cambia a /login, se ha cerrado sesion correctamente</t>
  </si>
  <si>
    <t>1. Agregar algun articulo al carrito
2. Hacer clic en botón hamburgesa
3. Hacer clic en opción "Logout"
4. Iniciar sesión</t>
  </si>
  <si>
    <t>El carrito mantiene los productos agregados antes del cierre de sesión</t>
  </si>
  <si>
    <t>1. Hacer clic en el carrito
2. Hacer clic en botón "Checkout"</t>
  </si>
  <si>
    <t>La página cambia a /checkout-step-one.html</t>
  </si>
  <si>
    <t>Tabla de decisión</t>
  </si>
  <si>
    <t>Realizar Login</t>
  </si>
  <si>
    <t>No se cambia de pagina. Mensaje "No cuentas con ningun producto en el carrito"</t>
  </si>
  <si>
    <t>1. Hacer clic en el carrito</t>
  </si>
  <si>
    <t>Realizar Login
Contar con un carrito vacio</t>
  </si>
  <si>
    <t>No se cuenta con productos. Mensaje "Tu carrito se encuentra vacío"</t>
  </si>
  <si>
    <t>Realizar Login
Agregar algun producto al carrito
Estar en ventana de Checkout</t>
  </si>
  <si>
    <t>1. Ingresar nombre "Juan"
2. Ingresar apellido "Lopez"
3. Ingresar zip "12345"
4. Hacer clic en botón "Continue"</t>
  </si>
  <si>
    <t>1. Ingresar nombre ""
2. Ingresar apellido "Lopez"
3. Ingresar zip "12345"
4. Hacer clic en botón "Continue"</t>
  </si>
  <si>
    <t>1. Ingresar nombre "Juan"
2. Ingresar apellido ""
3. Ingresar zip "12345"
4. Hacer clic en botón "Continue"</t>
  </si>
  <si>
    <t>1. Ingresar nombre "Juan"
2. Ingresar apellido "Lopez"
3. Ingresar zip ""
4. Hacer clic en botón "Continue"</t>
  </si>
  <si>
    <t>1. Ingresar nombre "0000"
2. Ingresar apellido "Lopez"
3. Ingresar zip "12345"
4. Hacer clic en botón "Continue"</t>
  </si>
  <si>
    <t>La pagina no cambia. Mensaje de error "Campo con datos no validos"</t>
  </si>
  <si>
    <t>1. Ingresar nombre "Juan"
2. Ingresar apellido "0000"
3. Ingresar zip "12345"
4. Hacer clic en botón "Continue"</t>
  </si>
  <si>
    <t>1. Ingresar nombre "0000"
2. Ingresar apellido "Lopez"
3. Ingresar zip "dostrescuatro"
4. Hacer clic en botón "Continue"</t>
  </si>
  <si>
    <t>Hacer clic en el nombre de algún producto redirecciona a la descripción del mismo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</si>
  <si>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</si>
  <si>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</si>
  <si>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</si>
  <si>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</si>
  <si>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</si>
  <si>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</si>
  <si>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</si>
  <si>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</si>
  <si>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</si>
  <si>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</si>
  <si>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</si>
  <si>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</si>
  <si>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</si>
  <si>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</si>
  <si>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1. Ingresar nombre "Juan"
2. Ingresar apellido "Lopez"
3. Ingresar zip "12345"
4. Hacer clic en botón "Continue"
5. Hacer clic en botón "Finish"</t>
  </si>
  <si>
    <t>La pagina cambia a /checkout-complete.html. Se muestra el mensaje "Thank you for your order!"</t>
  </si>
  <si>
    <t>Realizar Login
Agregar algun producto al carrito
Realizar proceso de compra completo</t>
  </si>
  <si>
    <t>Se genera un PDF descargable. Dentro del documento se muestran los siguientes elementos (Tienda, Fecha, Direccion, Items, Precio, Tax, Total)</t>
  </si>
  <si>
    <t>1. Hacer clic en botón "Generate PDF order"
2. Abrir el documento generado</t>
  </si>
  <si>
    <t>1. Hacer clic en botón "Back Home"</t>
  </si>
  <si>
    <t>Redirección a /inventory.html</t>
  </si>
  <si>
    <t>TC-036</t>
  </si>
  <si>
    <t>TC-037</t>
  </si>
  <si>
    <t>TC-038</t>
  </si>
  <si>
    <t>La pagina cambia a /checkout-step-two.
Se muestra informacion del envio</t>
  </si>
  <si>
    <t>La pagina cambia a /checkout-step-two.
La cantidad sumada de los productos y el TAX es correcta</t>
  </si>
  <si>
    <t>TC-039</t>
  </si>
  <si>
    <t>REQ-12</t>
  </si>
  <si>
    <t>El usuario puede interactuar correctamente con los botones despues de realizar la compra</t>
  </si>
  <si>
    <t>1. Ingresar 'standard_user' en usuario
2. Ingresar 'secret_sauce' en contraseña
3. Clic en Login</t>
  </si>
  <si>
    <t>TC-040</t>
  </si>
  <si>
    <t>1. Ingresar usuario inválido (tomsmth)
2. Ingresar contraseña válida (secret_sauce)
3. Clic en Login</t>
  </si>
  <si>
    <t>1. Ingresar usuario válido (standard_user)
2. Ingresar contraseña inválida (supersecretpassword)
3. Clic en Login</t>
  </si>
  <si>
    <t>1. Dejar usuario vacío
2. Ingresar contraseña válida (secret_sauce)
3. Clic en Login</t>
  </si>
  <si>
    <t>1. Ingresar usuario con mayúsculas alteradas (StandarD_uSer)
2. Ingresar contraseña válida (secret_sauce)
3. Clic en Login</t>
  </si>
  <si>
    <t>El producto agregado se elimina del carrito, no se muestra ningun mensaje</t>
  </si>
  <si>
    <t>No se cuenta con productos. No se cuenta con ningun mensaje</t>
  </si>
  <si>
    <t>La pagina no cambia. Mensaje de error "First Name is required"</t>
  </si>
  <si>
    <t>La pagina no cambia. Mensaje de error "Last Name is required"</t>
  </si>
  <si>
    <t>La pagina no cambia. Mensaje de error "Postal Code is required"</t>
  </si>
  <si>
    <t>Hacer clic en boton "Cancel" regresa al carrito</t>
  </si>
  <si>
    <t>Hacer clic en boton "Cancel" regresa pagina inventario</t>
  </si>
  <si>
    <t>BUG-002</t>
  </si>
  <si>
    <t>BUG-003</t>
  </si>
  <si>
    <t>BUG-004</t>
  </si>
  <si>
    <t>BUG-005</t>
  </si>
  <si>
    <t>BUG-006</t>
  </si>
  <si>
    <t>BUG-007</t>
  </si>
  <si>
    <t>BUG-008</t>
  </si>
  <si>
    <t>MS Edge</t>
  </si>
  <si>
    <t>https://www.saucedemo.com/</t>
  </si>
  <si>
    <t>Ingreso denegado al ingresar credenciales especificas</t>
  </si>
  <si>
    <t>Mensaje inexistente de advertencia de carrito vacio</t>
  </si>
  <si>
    <t>Carrito permite checkout al no contar con productos</t>
  </si>
  <si>
    <t>Crítica</t>
  </si>
  <si>
    <t>El sitio permite el checkout con datos no válidos</t>
  </si>
  <si>
    <t>Botón "Cancel" en carrito redirecciona a lugar incorrecto</t>
  </si>
  <si>
    <t>https://www.saucedemo.com/cart.html</t>
  </si>
  <si>
    <t>https://www.saucedemo.com/checkout-step-one.html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</si>
</sst>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color rgb="FF1F4E78"/>
      <name val="Arial"/>
      <charset val="1"/>
    </font>
    <font>
      <sz val="8"/>
      <name val="Calibri"/>
      <family val="2"/>
      <charset val="1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0" fillId="0" borderId="2" xfId="0" applyBorder="1"/>
    <xf numFmtId="0" fontId="5" fillId="3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14" fontId="3" fillId="0" borderId="2" xfId="0" applyNumberFormat="1" applyFont="1" applyBorder="1" applyAlignment="1">
      <alignment vertical="top" wrapText="1"/>
    </xf>
    <xf numFmtId="14" fontId="3" fillId="0" borderId="2" xfId="0" applyNumberFormat="1" applyFont="1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14" fontId="0" fillId="0" borderId="2" xfId="0" applyNumberFormat="1" applyBorder="1" applyAlignment="1">
      <alignment wrapText="1"/>
    </xf>
    <xf numFmtId="0" fontId="7" fillId="0" borderId="2" xfId="0" applyFont="1" applyBorder="1" applyAlignment="1">
      <alignment wrapText="1"/>
    </xf>
  </cellXfs>
  <cellStyles count="1">
    <cellStyle name="Normal" xfId="0" builtinId="0"/>
  </cellStyles>
  <dxfs count="6">
    <dxf>
      <fill>
        <patternFill>
          <bgColor rgb="FFEFEFEF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D9EAD3"/>
      <rgbColor rgb="FFF9F9F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Casos de Prueba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Dashboard!$A$5:$A$8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Bloqueado</c:v>
                </c:pt>
                <c:pt idx="3">
                  <c:v>No ejecutado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4"/>
                <c:pt idx="0">
                  <c:v>31</c:v>
                </c:pt>
                <c:pt idx="1">
                  <c:v>8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4-4A15-A1AF-A0BB6CA65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602599"/>
        <c:axId val="57585901"/>
      </c:barChart>
      <c:catAx>
        <c:axId val="91602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57585901"/>
        <c:crosses val="autoZero"/>
        <c:auto val="1"/>
        <c:lblAlgn val="ctr"/>
        <c:lblOffset val="100"/>
        <c:noMultiLvlLbl val="0"/>
      </c:catAx>
      <c:valAx>
        <c:axId val="57585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916025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160560</xdr:rowOff>
    </xdr:from>
    <xdr:to>
      <xdr:col>10</xdr:col>
      <xdr:colOff>39240</xdr:colOff>
      <xdr:row>15</xdr:row>
      <xdr:rowOff>13320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cart.html" TargetMode="External"/><Relationship Id="rId2" Type="http://schemas.openxmlformats.org/officeDocument/2006/relationships/hyperlink" Target="https://www.saucedemo.com/cart.html" TargetMode="External"/><Relationship Id="rId1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checkout-step-one.html" TargetMode="External"/><Relationship Id="rId4" Type="http://schemas.openxmlformats.org/officeDocument/2006/relationships/hyperlink" Target="https://www.saucedemo.com/checkout-step-o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zoomScaleNormal="100" workbookViewId="0">
      <selection activeCell="B17" sqref="B17"/>
    </sheetView>
  </sheetViews>
  <sheetFormatPr baseColWidth="10" defaultColWidth="8.7109375" defaultRowHeight="15"/>
  <cols>
    <col min="1" max="1" width="32" customWidth="1"/>
    <col min="2" max="2" width="14" customWidth="1"/>
  </cols>
  <sheetData>
    <row r="1" spans="1:2" ht="18">
      <c r="A1" s="1" t="s">
        <v>109</v>
      </c>
    </row>
    <row r="3" spans="1:2" ht="15.75">
      <c r="A3" s="2" t="s">
        <v>0</v>
      </c>
    </row>
    <row r="4" spans="1:2">
      <c r="A4" s="3" t="s">
        <v>1</v>
      </c>
      <c r="B4" s="3">
        <f>COUNTIF('Casos de Prueba'!$A$2:$A$329,"TC-*")</f>
        <v>40</v>
      </c>
    </row>
    <row r="5" spans="1:2">
      <c r="A5" s="3" t="s">
        <v>2</v>
      </c>
      <c r="B5" s="3">
        <f>COUNTIF('Casos de Prueba'!$I$2:$I$329,"Pass")</f>
        <v>31</v>
      </c>
    </row>
    <row r="6" spans="1:2">
      <c r="A6" s="3" t="s">
        <v>3</v>
      </c>
      <c r="B6" s="3">
        <f>COUNTIF('Casos de Prueba'!$I$2:$I$329,"Fail")</f>
        <v>8</v>
      </c>
    </row>
    <row r="7" spans="1:2">
      <c r="A7" s="3" t="s">
        <v>4</v>
      </c>
      <c r="B7" s="3">
        <f>COUNTIF('Casos de Prueba'!$I$2:$I$329,"Bloqueado")</f>
        <v>1</v>
      </c>
    </row>
    <row r="8" spans="1:2">
      <c r="A8" s="3" t="s">
        <v>5</v>
      </c>
      <c r="B8" s="3">
        <f>COUNTIF('Casos de Prueba'!$I$2:$I$329,"No ejecutado")</f>
        <v>0</v>
      </c>
    </row>
    <row r="9" spans="1:2">
      <c r="A9" s="3" t="s">
        <v>6</v>
      </c>
      <c r="B9" s="4">
        <f>IFERROR(B5/(B5+B6),0)</f>
        <v>0.79487179487179482</v>
      </c>
    </row>
    <row r="11" spans="1:2" ht="15.75">
      <c r="A11" s="2" t="s">
        <v>7</v>
      </c>
    </row>
    <row r="12" spans="1:2">
      <c r="A12" s="3" t="s">
        <v>8</v>
      </c>
      <c r="B12" s="3">
        <f>COUNTA('Bitácora de Bugs'!$A$2:$A$299)</f>
        <v>8</v>
      </c>
    </row>
    <row r="13" spans="1:2">
      <c r="A13" s="3" t="s">
        <v>9</v>
      </c>
      <c r="B13" s="3">
        <f>COUNTIF('Bitácora de Bugs'!$E$2:$E$299,"Crítica")</f>
        <v>3</v>
      </c>
    </row>
    <row r="14" spans="1:2">
      <c r="A14" s="3" t="s">
        <v>10</v>
      </c>
      <c r="B14" s="3">
        <f>COUNTIF('Bitácora de Bugs'!$E$2:$E$299,"Alta")</f>
        <v>2</v>
      </c>
    </row>
    <row r="15" spans="1:2">
      <c r="A15" s="3" t="s">
        <v>11</v>
      </c>
      <c r="B15" s="3">
        <f>COUNTIF('Bitácora de Bugs'!$E$2:$E$299,"Media")</f>
        <v>1</v>
      </c>
    </row>
    <row r="16" spans="1:2">
      <c r="A16" s="3" t="s">
        <v>12</v>
      </c>
      <c r="B16" s="3">
        <f>COUNTIF('Bitácora de Bugs'!$E$2:$E$299,"Baja")</f>
        <v>2</v>
      </c>
    </row>
    <row r="17" spans="1:2">
      <c r="A17" s="3" t="s">
        <v>13</v>
      </c>
      <c r="B17" s="3">
        <f>COUNTIF('Bitácora de Bugs'!$G$2:$G$299,"Abierto")</f>
        <v>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zoomScaleNormal="100" workbookViewId="0"/>
  </sheetViews>
  <sheetFormatPr baseColWidth="10" defaultColWidth="8.7109375" defaultRowHeight="15"/>
  <cols>
    <col min="1" max="1" width="95" customWidth="1"/>
  </cols>
  <sheetData>
    <row r="1" spans="1:1" ht="18">
      <c r="A1" s="1" t="s">
        <v>14</v>
      </c>
    </row>
    <row r="2" spans="1:1">
      <c r="A2" s="3"/>
    </row>
    <row r="3" spans="1:1">
      <c r="A3" s="3" t="s">
        <v>15</v>
      </c>
    </row>
    <row r="4" spans="1:1">
      <c r="A4" s="3" t="s">
        <v>16</v>
      </c>
    </row>
    <row r="5" spans="1:1">
      <c r="A5" s="3"/>
    </row>
    <row r="6" spans="1:1">
      <c r="A6" s="3" t="s">
        <v>17</v>
      </c>
    </row>
    <row r="7" spans="1:1">
      <c r="A7" s="3" t="s">
        <v>18</v>
      </c>
    </row>
    <row r="8" spans="1:1">
      <c r="A8" s="3" t="s">
        <v>19</v>
      </c>
    </row>
    <row r="9" spans="1:1">
      <c r="A9" s="3" t="s">
        <v>20</v>
      </c>
    </row>
    <row r="10" spans="1:1">
      <c r="A10" s="3" t="s">
        <v>21</v>
      </c>
    </row>
    <row r="11" spans="1:1">
      <c r="A11" s="3" t="s">
        <v>22</v>
      </c>
    </row>
    <row r="12" spans="1:1">
      <c r="A12" s="3" t="s">
        <v>23</v>
      </c>
    </row>
    <row r="13" spans="1:1">
      <c r="A13" s="3" t="s">
        <v>24</v>
      </c>
    </row>
    <row r="14" spans="1:1">
      <c r="A14" s="3"/>
    </row>
    <row r="15" spans="1:1">
      <c r="A15" s="3" t="s">
        <v>25</v>
      </c>
    </row>
    <row r="16" spans="1:1">
      <c r="A16" s="3" t="s">
        <v>26</v>
      </c>
    </row>
    <row r="17" spans="1:1">
      <c r="A17" s="3" t="s">
        <v>27</v>
      </c>
    </row>
    <row r="18" spans="1:1">
      <c r="A18" s="3" t="s">
        <v>28</v>
      </c>
    </row>
    <row r="19" spans="1:1">
      <c r="A19" s="3" t="s">
        <v>29</v>
      </c>
    </row>
    <row r="20" spans="1:1">
      <c r="A20" s="3" t="s">
        <v>30</v>
      </c>
    </row>
    <row r="21" spans="1:1">
      <c r="A21" s="3"/>
    </row>
    <row r="22" spans="1:1">
      <c r="A22" s="3" t="s">
        <v>31</v>
      </c>
    </row>
    <row r="23" spans="1:1">
      <c r="A23" s="3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>
      <pane ySplit="1" topLeftCell="A2" activePane="bottomLeft" state="frozen"/>
      <selection pane="bottomLeft" activeCell="A8" sqref="A8"/>
    </sheetView>
  </sheetViews>
  <sheetFormatPr baseColWidth="10" defaultColWidth="8.7109375" defaultRowHeight="15"/>
  <cols>
    <col min="1" max="1" width="10" customWidth="1"/>
    <col min="2" max="2" width="70" customWidth="1"/>
    <col min="3" max="3" width="16" customWidth="1"/>
  </cols>
  <sheetData>
    <row r="1" spans="1:3" ht="30">
      <c r="A1" s="5" t="s">
        <v>33</v>
      </c>
      <c r="B1" s="5" t="s">
        <v>34</v>
      </c>
      <c r="C1" s="5" t="s">
        <v>35</v>
      </c>
    </row>
    <row r="2" spans="1:3">
      <c r="A2" s="6" t="s">
        <v>36</v>
      </c>
      <c r="B2" s="6" t="s">
        <v>37</v>
      </c>
      <c r="C2" s="6" t="s">
        <v>38</v>
      </c>
    </row>
    <row r="3" spans="1:3" ht="25.5">
      <c r="A3" s="6" t="s">
        <v>39</v>
      </c>
      <c r="B3" s="6" t="s">
        <v>40</v>
      </c>
      <c r="C3" s="6" t="s">
        <v>38</v>
      </c>
    </row>
    <row r="4" spans="1:3" ht="25.5">
      <c r="A4" s="6" t="s">
        <v>41</v>
      </c>
      <c r="B4" s="6" t="s">
        <v>42</v>
      </c>
      <c r="C4" s="6" t="s">
        <v>38</v>
      </c>
    </row>
    <row r="5" spans="1:3" ht="25.5">
      <c r="A5" s="6" t="s">
        <v>43</v>
      </c>
      <c r="B5" s="6" t="s">
        <v>44</v>
      </c>
      <c r="C5" s="6" t="s">
        <v>45</v>
      </c>
    </row>
    <row r="6" spans="1:3" ht="25.5">
      <c r="A6" s="6" t="s">
        <v>46</v>
      </c>
      <c r="B6" s="6" t="s">
        <v>47</v>
      </c>
      <c r="C6" s="6" t="s">
        <v>45</v>
      </c>
    </row>
    <row r="7" spans="1:3" ht="25.5">
      <c r="A7" s="6" t="s">
        <v>48</v>
      </c>
      <c r="B7" s="6" t="s">
        <v>49</v>
      </c>
      <c r="C7" s="6" t="s">
        <v>45</v>
      </c>
    </row>
    <row r="8" spans="1:3">
      <c r="A8" s="6" t="s">
        <v>50</v>
      </c>
      <c r="B8" s="6" t="s">
        <v>51</v>
      </c>
      <c r="C8" s="6" t="s">
        <v>45</v>
      </c>
    </row>
    <row r="9" spans="1:3">
      <c r="A9" s="6" t="s">
        <v>52</v>
      </c>
      <c r="B9" s="6" t="s">
        <v>53</v>
      </c>
      <c r="C9" s="6" t="s">
        <v>54</v>
      </c>
    </row>
    <row r="10" spans="1:3" ht="25.5">
      <c r="A10" s="6" t="s">
        <v>55</v>
      </c>
      <c r="B10" s="6" t="s">
        <v>56</v>
      </c>
      <c r="C10" s="6" t="s">
        <v>57</v>
      </c>
    </row>
    <row r="11" spans="1:3" ht="25.5">
      <c r="A11" s="6" t="s">
        <v>58</v>
      </c>
      <c r="B11" s="6" t="s">
        <v>59</v>
      </c>
      <c r="C11" s="6" t="s">
        <v>57</v>
      </c>
    </row>
    <row r="12" spans="1:3" ht="25.5">
      <c r="A12" s="6" t="s">
        <v>60</v>
      </c>
      <c r="B12" s="6" t="s">
        <v>61</v>
      </c>
      <c r="C12" s="6" t="s">
        <v>57</v>
      </c>
    </row>
    <row r="13" spans="1:3" ht="25.5">
      <c r="A13" s="6" t="s">
        <v>206</v>
      </c>
      <c r="B13" s="6" t="s">
        <v>207</v>
      </c>
      <c r="C13" s="6" t="s">
        <v>54</v>
      </c>
    </row>
  </sheetData>
  <autoFilter ref="A1:C12" xr:uid="{00000000-0009-0000-0000-000002000000}"/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7109375" defaultRowHeight="15"/>
  <cols>
    <col min="1" max="1" width="14" customWidth="1"/>
    <col min="2" max="2" width="70" customWidth="1"/>
    <col min="3" max="3" width="24" customWidth="1"/>
    <col min="4" max="4" width="18" customWidth="1"/>
  </cols>
  <sheetData>
    <row r="1" spans="1:4" ht="30">
      <c r="A1" s="5" t="s">
        <v>62</v>
      </c>
      <c r="B1" s="5" t="s">
        <v>34</v>
      </c>
      <c r="C1" s="5" t="s">
        <v>63</v>
      </c>
      <c r="D1" s="5" t="s">
        <v>64</v>
      </c>
    </row>
    <row r="2" spans="1:4">
      <c r="A2" s="6" t="str">
        <f>Requisitos!A2</f>
        <v>REQ-01</v>
      </c>
      <c r="B2" s="6" t="str">
        <f>INDEX(Requisitos!$B$2:$B$13, MATCH(A2, Requisitos!$A$2:$A$13, 0))</f>
        <v>El sistema debe permitir el login con credenciales válidas.</v>
      </c>
      <c r="C2" s="6">
        <f>COUNTIF('Casos de Prueba'!$C$2:$C$329, A2)</f>
        <v>4</v>
      </c>
      <c r="D2" s="6" t="str">
        <f t="shared" ref="D2:D12" si="0">IF(C2&gt;0,"Cubierto","Sin cobertura")</f>
        <v>Cubierto</v>
      </c>
    </row>
    <row r="3" spans="1:4" ht="25.5">
      <c r="A3" s="6" t="str">
        <f>Requisitos!A3</f>
        <v>REQ-02</v>
      </c>
      <c r="B3" s="6" t="str">
        <f>INDEX(Requisitos!$B$2:$B$13, MATCH(A3, Requisitos!$A$2:$A$13, 0))</f>
        <v>El sistema debe bloquear a usuarios marcados como 'locked out', mostrando un mensaje específico.</v>
      </c>
      <c r="C3" s="6">
        <f>COUNTIF('Casos de Prueba'!$C$2:$C$329, A3)</f>
        <v>1</v>
      </c>
      <c r="D3" s="6" t="str">
        <f t="shared" si="0"/>
        <v>Cubierto</v>
      </c>
    </row>
    <row r="4" spans="1:4" ht="25.5">
      <c r="A4" s="6" t="str">
        <f>Requisitos!A4</f>
        <v>REQ-03</v>
      </c>
      <c r="B4" s="6" t="str">
        <f>INDEX(Requisitos!$B$2:$B$13, MATCH(A4, Requisitos!$A$2:$A$13, 0))</f>
        <v>El sistema debe rechazar credenciales inválidas o vacías, mostrando un mensaje de error visible.</v>
      </c>
      <c r="C4" s="6">
        <f>COUNTIF('Casos de Prueba'!$C$2:$C$329, A4)</f>
        <v>4</v>
      </c>
      <c r="D4" s="6" t="str">
        <f t="shared" si="0"/>
        <v>Cubierto</v>
      </c>
    </row>
    <row r="5" spans="1:4" ht="25.5">
      <c r="A5" s="6" t="str">
        <f>Requisitos!A5</f>
        <v>REQ-04</v>
      </c>
      <c r="B5" s="6" t="str">
        <f>INDEX(Requisitos!$B$2:$B$13, MATCH(A5, Requisitos!$A$2:$A$13, 0))</f>
        <v>El usuario debe poder ordenar el listado de productos por nombre (A-Z, Z-A) y precio (menor-mayor, mayor-menor).</v>
      </c>
      <c r="C5" s="6">
        <f>COUNTIF('Casos de Prueba'!$C$2:$C$329, A5)</f>
        <v>4</v>
      </c>
      <c r="D5" s="6" t="str">
        <f t="shared" si="0"/>
        <v>Cubierto</v>
      </c>
    </row>
    <row r="6" spans="1:4" ht="25.5">
      <c r="A6" s="6" t="str">
        <f>Requisitos!A6</f>
        <v>REQ-05</v>
      </c>
      <c r="B6" s="6" t="str">
        <f>INDEX(Requisitos!$B$2:$B$13, MATCH(A6, Requisitos!$A$2:$A$13, 0))</f>
        <v>El usuario debe poder agregar y quitar productos del carrito desde el listado de inventario.</v>
      </c>
      <c r="C6" s="6">
        <f>COUNTIF('Casos de Prueba'!$C$2:$C$329, A6)</f>
        <v>2</v>
      </c>
      <c r="D6" s="6" t="str">
        <f t="shared" si="0"/>
        <v>Cubierto</v>
      </c>
    </row>
    <row r="7" spans="1:4" ht="25.5">
      <c r="A7" s="6" t="str">
        <f>Requisitos!A7</f>
        <v>REQ-06</v>
      </c>
      <c r="B7" s="6" t="str">
        <f>INDEX(Requisitos!$B$2:$B$13, MATCH(A7, Requisitos!$A$2:$A$13, 0))</f>
        <v>El contador (badge) del carrito debe reflejar en todo momento la cantidad correcta de productos agregados.</v>
      </c>
      <c r="C7" s="6">
        <f>COUNTIF('Casos de Prueba'!$C$2:$C$329, A7)</f>
        <v>4</v>
      </c>
      <c r="D7" s="6" t="str">
        <f t="shared" si="0"/>
        <v>Cubierto</v>
      </c>
    </row>
    <row r="8" spans="1:4">
      <c r="A8" s="6" t="str">
        <f>Requisitos!A8</f>
        <v>REQ-07</v>
      </c>
      <c r="B8" s="6" t="str">
        <f>INDEX(Requisitos!$B$2:$B$13, MATCH(A8, Requisitos!$A$2:$A$13, 0))</f>
        <v>El usuario debe poder ver el detalle de un producto al hacer clic en su nombre.</v>
      </c>
      <c r="C8" s="6">
        <f>COUNTIF('Casos de Prueba'!$C$2:$C$329, A8)</f>
        <v>4</v>
      </c>
      <c r="D8" s="6" t="str">
        <f t="shared" si="0"/>
        <v>Cubierto</v>
      </c>
    </row>
    <row r="9" spans="1:4">
      <c r="A9" s="6" t="str">
        <f>Requisitos!A9</f>
        <v>REQ-08</v>
      </c>
      <c r="B9" s="6" t="str">
        <f>INDEX(Requisitos!$B$2:$B$13, MATCH(A9, Requisitos!$A$2:$A$13, 0))</f>
        <v>El carrito debe permitir eliminar productos y continuar hacia el checkout.</v>
      </c>
      <c r="C9" s="6">
        <f>COUNTIF('Casos de Prueba'!$C$2:$C$329, A9)</f>
        <v>4</v>
      </c>
      <c r="D9" s="6" t="str">
        <f t="shared" si="0"/>
        <v>Cubierto</v>
      </c>
    </row>
    <row r="10" spans="1:4" ht="25.5">
      <c r="A10" s="6" t="str">
        <f>Requisitos!A10</f>
        <v>REQ-09</v>
      </c>
      <c r="B10" s="6" t="str">
        <f>INDEX(Requisitos!$B$2:$B$13, MATCH(A10, Requisitos!$A$2:$A$13, 0))</f>
        <v>El formulario de checkout debe validar que los campos obligatorios no estén vacíos.</v>
      </c>
      <c r="C10" s="6">
        <f>COUNTIF('Casos de Prueba'!$C$2:$C$329, A10)</f>
        <v>7</v>
      </c>
      <c r="D10" s="6" t="str">
        <f t="shared" si="0"/>
        <v>Cubierto</v>
      </c>
    </row>
    <row r="11" spans="1:4" ht="25.5">
      <c r="A11" s="6" t="str">
        <f>Requisitos!A11</f>
        <v>REQ-10</v>
      </c>
      <c r="B11" s="6" t="str">
        <f>INDEX(Requisitos!$B$2:$B$13, MATCH(A11, Requisitos!$A$2:$A$13, 0))</f>
        <v>El sistema debe calcular correctamente el total de la compra (subtotal + impuesto).</v>
      </c>
      <c r="C11" s="6">
        <f>COUNTIF('Casos de Prueba'!$C$2:$C$329, A11)</f>
        <v>1</v>
      </c>
      <c r="D11" s="6" t="str">
        <f t="shared" si="0"/>
        <v>Cubierto</v>
      </c>
    </row>
    <row r="12" spans="1:4" ht="25.5">
      <c r="A12" s="6" t="str">
        <f>Requisitos!A12</f>
        <v>REQ-11</v>
      </c>
      <c r="B12" s="6" t="str">
        <f>INDEX(Requisitos!$B$2:$B$13, MATCH(A12, Requisitos!$A$2:$A$13, 0))</f>
        <v>El sistema debe mostrar una confirmación visible al completar la compra exitosamente.</v>
      </c>
      <c r="C12" s="6">
        <f>COUNTIF('Casos de Prueba'!$C$2:$C$329, A12)</f>
        <v>2</v>
      </c>
      <c r="D12" s="6" t="str">
        <f t="shared" si="0"/>
        <v>Cubierto</v>
      </c>
    </row>
    <row r="13" spans="1:4" ht="25.5">
      <c r="A13" s="6" t="str">
        <f>Requisitos!A13</f>
        <v>REQ-12</v>
      </c>
      <c r="B13" s="6" t="str">
        <f>INDEX(Requisitos!$B$2:$B$13, MATCH(A13, Requisitos!$A$2:$A$13, 0))</f>
        <v>El usuario puede interactuar correctamente con los botones despues de realizar la compra</v>
      </c>
      <c r="C13" s="6">
        <f>COUNTIF('Casos de Prueba'!$C$2:$C$329, A13)</f>
        <v>3</v>
      </c>
      <c r="D13" s="6" t="str">
        <f t="shared" ref="D13" si="1">IF(C13&gt;0,"Cubierto","Sin cobertura")</f>
        <v>Cubierto</v>
      </c>
    </row>
  </sheetData>
  <autoFilter ref="A1:D12" xr:uid="{00000000-0009-0000-0000-000003000000}"/>
  <conditionalFormatting sqref="D2:D13">
    <cfRule type="cellIs" dxfId="5" priority="2" operator="equal">
      <formula>"Sin cobertura"</formula>
    </cfRule>
    <cfRule type="cellIs" dxfId="4" priority="3" operator="equal">
      <formula>"Cubierto"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3"/>
  <sheetViews>
    <sheetView zoomScaleNormal="100" workbookViewId="0">
      <pane ySplit="1" topLeftCell="A41" activePane="bottomLeft" state="frozen"/>
      <selection pane="bottomLeft" activeCell="L33" sqref="L33:L45"/>
    </sheetView>
  </sheetViews>
  <sheetFormatPr baseColWidth="10" defaultColWidth="8.7109375" defaultRowHeight="15"/>
  <cols>
    <col min="1" max="1" width="10" customWidth="1"/>
    <col min="2" max="3" width="12" customWidth="1"/>
    <col min="4" max="4" width="20" bestFit="1" customWidth="1"/>
    <col min="5" max="5" width="20" customWidth="1"/>
    <col min="6" max="6" width="42" customWidth="1"/>
    <col min="7" max="8" width="34" customWidth="1"/>
    <col min="9" max="9" width="13" customWidth="1"/>
    <col min="10" max="11" width="10" customWidth="1"/>
    <col min="12" max="12" width="14" customWidth="1"/>
  </cols>
  <sheetData>
    <row r="1" spans="1:12" ht="30">
      <c r="A1" s="8" t="s">
        <v>33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8" t="s">
        <v>73</v>
      </c>
      <c r="K1" s="8" t="s">
        <v>74</v>
      </c>
      <c r="L1" s="8" t="s">
        <v>75</v>
      </c>
    </row>
    <row r="2" spans="1:12" ht="15" customHeight="1">
      <c r="A2" s="13" t="s">
        <v>112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8.25">
      <c r="A3" s="9" t="s">
        <v>76</v>
      </c>
      <c r="B3" s="9" t="s">
        <v>38</v>
      </c>
      <c r="C3" s="9" t="s">
        <v>36</v>
      </c>
      <c r="D3" s="9" t="s">
        <v>77</v>
      </c>
      <c r="E3" s="9" t="s">
        <v>78</v>
      </c>
      <c r="F3" s="9" t="s">
        <v>208</v>
      </c>
      <c r="G3" s="9" t="s">
        <v>80</v>
      </c>
      <c r="H3" s="9" t="s">
        <v>80</v>
      </c>
      <c r="I3" s="9" t="s">
        <v>2</v>
      </c>
      <c r="J3" s="9"/>
      <c r="K3" s="9" t="s">
        <v>81</v>
      </c>
      <c r="L3" s="15">
        <v>46270</v>
      </c>
    </row>
    <row r="4" spans="1:12" ht="51">
      <c r="A4" s="9" t="s">
        <v>82</v>
      </c>
      <c r="B4" s="9" t="s">
        <v>38</v>
      </c>
      <c r="C4" s="9" t="s">
        <v>36</v>
      </c>
      <c r="D4" s="9" t="s">
        <v>77</v>
      </c>
      <c r="E4" s="9" t="s">
        <v>78</v>
      </c>
      <c r="F4" s="9" t="s">
        <v>79</v>
      </c>
      <c r="G4" s="9" t="s">
        <v>80</v>
      </c>
      <c r="H4" s="9" t="s">
        <v>110</v>
      </c>
      <c r="I4" s="9" t="s">
        <v>3</v>
      </c>
      <c r="J4" s="9" t="s">
        <v>111</v>
      </c>
      <c r="K4" s="9" t="s">
        <v>81</v>
      </c>
      <c r="L4" s="15">
        <v>46271</v>
      </c>
    </row>
    <row r="5" spans="1:12" ht="38.25">
      <c r="A5" s="9" t="s">
        <v>84</v>
      </c>
      <c r="B5" s="9" t="s">
        <v>38</v>
      </c>
      <c r="C5" s="9" t="s">
        <v>41</v>
      </c>
      <c r="D5" s="9" t="s">
        <v>77</v>
      </c>
      <c r="E5" s="9" t="s">
        <v>78</v>
      </c>
      <c r="F5" s="9" t="s">
        <v>210</v>
      </c>
      <c r="G5" s="9" t="s">
        <v>83</v>
      </c>
      <c r="H5" s="9" t="s">
        <v>83</v>
      </c>
      <c r="I5" s="9" t="s">
        <v>2</v>
      </c>
      <c r="J5" s="9"/>
      <c r="K5" s="9" t="s">
        <v>81</v>
      </c>
      <c r="L5" s="15">
        <v>46272</v>
      </c>
    </row>
    <row r="6" spans="1:12" ht="51">
      <c r="A6" s="9" t="s">
        <v>85</v>
      </c>
      <c r="B6" s="9" t="s">
        <v>38</v>
      </c>
      <c r="C6" s="9" t="s">
        <v>41</v>
      </c>
      <c r="D6" s="9" t="s">
        <v>77</v>
      </c>
      <c r="E6" s="9" t="s">
        <v>78</v>
      </c>
      <c r="F6" s="9" t="s">
        <v>211</v>
      </c>
      <c r="G6" s="9" t="s">
        <v>83</v>
      </c>
      <c r="H6" s="9" t="s">
        <v>83</v>
      </c>
      <c r="I6" s="9" t="s">
        <v>2</v>
      </c>
      <c r="J6" s="9"/>
      <c r="K6" s="9" t="s">
        <v>81</v>
      </c>
      <c r="L6" s="15">
        <v>46273</v>
      </c>
    </row>
    <row r="7" spans="1:12" ht="25.5">
      <c r="A7" s="9" t="s">
        <v>89</v>
      </c>
      <c r="B7" s="9" t="s">
        <v>38</v>
      </c>
      <c r="C7" s="9" t="s">
        <v>41</v>
      </c>
      <c r="D7" s="9" t="s">
        <v>77</v>
      </c>
      <c r="E7" s="9" t="s">
        <v>78</v>
      </c>
      <c r="F7" s="9" t="s">
        <v>86</v>
      </c>
      <c r="G7" s="9" t="s">
        <v>87</v>
      </c>
      <c r="H7" s="9" t="s">
        <v>87</v>
      </c>
      <c r="I7" s="9" t="s">
        <v>2</v>
      </c>
      <c r="J7" s="9"/>
      <c r="K7" s="9" t="s">
        <v>88</v>
      </c>
      <c r="L7" s="15">
        <v>46274</v>
      </c>
    </row>
    <row r="8" spans="1:12" ht="38.25">
      <c r="A8" s="9" t="s">
        <v>91</v>
      </c>
      <c r="B8" s="9" t="s">
        <v>38</v>
      </c>
      <c r="C8" s="9" t="s">
        <v>41</v>
      </c>
      <c r="D8" s="9" t="s">
        <v>77</v>
      </c>
      <c r="E8" s="9" t="s">
        <v>78</v>
      </c>
      <c r="F8" s="9" t="s">
        <v>212</v>
      </c>
      <c r="G8" s="9" t="s">
        <v>90</v>
      </c>
      <c r="H8" s="9" t="s">
        <v>90</v>
      </c>
      <c r="I8" s="9" t="s">
        <v>2</v>
      </c>
      <c r="J8" s="9"/>
      <c r="K8" s="9" t="s">
        <v>88</v>
      </c>
      <c r="L8" s="15">
        <v>46275</v>
      </c>
    </row>
    <row r="9" spans="1:12" ht="51">
      <c r="A9" s="9" t="s">
        <v>94</v>
      </c>
      <c r="B9" s="9" t="s">
        <v>38</v>
      </c>
      <c r="C9" s="9" t="s">
        <v>36</v>
      </c>
      <c r="D9" s="9" t="s">
        <v>92</v>
      </c>
      <c r="E9" s="9" t="s">
        <v>78</v>
      </c>
      <c r="F9" s="9" t="s">
        <v>213</v>
      </c>
      <c r="G9" s="9" t="s">
        <v>90</v>
      </c>
      <c r="H9" s="9" t="s">
        <v>90</v>
      </c>
      <c r="I9" s="9" t="s">
        <v>2</v>
      </c>
      <c r="J9" s="9"/>
      <c r="K9" s="9" t="s">
        <v>93</v>
      </c>
      <c r="L9" s="15">
        <v>46276</v>
      </c>
    </row>
    <row r="10" spans="1:12" ht="38.25">
      <c r="A10" s="9" t="s">
        <v>113</v>
      </c>
      <c r="B10" s="9" t="s">
        <v>38</v>
      </c>
      <c r="C10" s="9" t="s">
        <v>39</v>
      </c>
      <c r="D10" s="9" t="s">
        <v>77</v>
      </c>
      <c r="E10" s="9" t="s">
        <v>78</v>
      </c>
      <c r="F10" s="9" t="s">
        <v>95</v>
      </c>
      <c r="G10" s="9" t="s">
        <v>96</v>
      </c>
      <c r="H10" s="9" t="s">
        <v>96</v>
      </c>
      <c r="I10" s="9" t="s">
        <v>4</v>
      </c>
      <c r="J10" s="9"/>
      <c r="K10" s="9" t="s">
        <v>81</v>
      </c>
      <c r="L10" s="15">
        <v>46277</v>
      </c>
    </row>
    <row r="11" spans="1:12" ht="15" customHeight="1">
      <c r="A11" s="13" t="s">
        <v>97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26.25">
      <c r="A12" s="10" t="s">
        <v>117</v>
      </c>
      <c r="B12" s="10" t="s">
        <v>45</v>
      </c>
      <c r="C12" s="10" t="s">
        <v>43</v>
      </c>
      <c r="D12" s="10" t="s">
        <v>92</v>
      </c>
      <c r="E12" s="11" t="s">
        <v>114</v>
      </c>
      <c r="F12" s="11" t="s">
        <v>115</v>
      </c>
      <c r="G12" s="11" t="s">
        <v>116</v>
      </c>
      <c r="H12" s="11" t="s">
        <v>116</v>
      </c>
      <c r="I12" s="10" t="s">
        <v>2</v>
      </c>
      <c r="J12" s="10"/>
      <c r="K12" s="10" t="s">
        <v>81</v>
      </c>
      <c r="L12" s="16">
        <v>46272</v>
      </c>
    </row>
    <row r="13" spans="1:12" ht="26.25">
      <c r="A13" s="10" t="s">
        <v>120</v>
      </c>
      <c r="B13" s="10" t="s">
        <v>45</v>
      </c>
      <c r="C13" s="10" t="s">
        <v>43</v>
      </c>
      <c r="D13" s="10" t="s">
        <v>92</v>
      </c>
      <c r="E13" s="11" t="s">
        <v>114</v>
      </c>
      <c r="F13" s="11" t="s">
        <v>118</v>
      </c>
      <c r="G13" s="11" t="s">
        <v>119</v>
      </c>
      <c r="H13" s="11" t="s">
        <v>119</v>
      </c>
      <c r="I13" s="10" t="s">
        <v>2</v>
      </c>
      <c r="J13" s="10"/>
      <c r="K13" s="10" t="s">
        <v>81</v>
      </c>
      <c r="L13" s="16">
        <v>46273</v>
      </c>
    </row>
    <row r="14" spans="1:12" ht="26.25">
      <c r="A14" s="10" t="s">
        <v>123</v>
      </c>
      <c r="B14" s="10" t="s">
        <v>45</v>
      </c>
      <c r="C14" s="10" t="s">
        <v>43</v>
      </c>
      <c r="D14" s="10" t="s">
        <v>92</v>
      </c>
      <c r="E14" s="11" t="s">
        <v>114</v>
      </c>
      <c r="F14" s="11" t="s">
        <v>121</v>
      </c>
      <c r="G14" s="11" t="s">
        <v>122</v>
      </c>
      <c r="H14" s="11" t="s">
        <v>122</v>
      </c>
      <c r="I14" s="10" t="s">
        <v>2</v>
      </c>
      <c r="J14" s="10"/>
      <c r="K14" s="10" t="s">
        <v>81</v>
      </c>
      <c r="L14" s="16">
        <v>46274</v>
      </c>
    </row>
    <row r="15" spans="1:12" ht="26.25">
      <c r="A15" s="10" t="s">
        <v>139</v>
      </c>
      <c r="B15" s="10" t="s">
        <v>45</v>
      </c>
      <c r="C15" s="10" t="s">
        <v>43</v>
      </c>
      <c r="D15" s="10" t="s">
        <v>92</v>
      </c>
      <c r="E15" s="11" t="s">
        <v>114</v>
      </c>
      <c r="F15" s="11" t="s">
        <v>124</v>
      </c>
      <c r="G15" s="11" t="s">
        <v>125</v>
      </c>
      <c r="H15" s="11" t="s">
        <v>125</v>
      </c>
      <c r="I15" s="10" t="s">
        <v>2</v>
      </c>
      <c r="J15" s="10"/>
      <c r="K15" s="10" t="s">
        <v>81</v>
      </c>
      <c r="L15" s="16">
        <v>46275</v>
      </c>
    </row>
    <row r="16" spans="1:12" ht="39">
      <c r="A16" s="10" t="s">
        <v>140</v>
      </c>
      <c r="B16" s="10" t="s">
        <v>45</v>
      </c>
      <c r="C16" s="10" t="s">
        <v>50</v>
      </c>
      <c r="D16" s="10" t="s">
        <v>92</v>
      </c>
      <c r="E16" s="11" t="s">
        <v>114</v>
      </c>
      <c r="F16" s="11" t="s">
        <v>126</v>
      </c>
      <c r="G16" s="11" t="s">
        <v>127</v>
      </c>
      <c r="H16" s="11" t="s">
        <v>127</v>
      </c>
      <c r="I16" s="10" t="s">
        <v>2</v>
      </c>
      <c r="J16" s="10"/>
      <c r="K16" s="10" t="s">
        <v>93</v>
      </c>
      <c r="L16" s="16">
        <v>46276</v>
      </c>
    </row>
    <row r="17" spans="1:12" ht="39">
      <c r="A17" s="10" t="s">
        <v>141</v>
      </c>
      <c r="B17" s="10" t="s">
        <v>45</v>
      </c>
      <c r="C17" s="10" t="s">
        <v>50</v>
      </c>
      <c r="D17" s="10" t="s">
        <v>92</v>
      </c>
      <c r="E17" s="11" t="s">
        <v>114</v>
      </c>
      <c r="F17" s="11" t="s">
        <v>128</v>
      </c>
      <c r="G17" s="11" t="s">
        <v>127</v>
      </c>
      <c r="H17" s="11" t="s">
        <v>127</v>
      </c>
      <c r="I17" s="10" t="s">
        <v>2</v>
      </c>
      <c r="J17" s="10"/>
      <c r="K17" s="10" t="s">
        <v>93</v>
      </c>
      <c r="L17" s="16">
        <v>46277</v>
      </c>
    </row>
    <row r="18" spans="1:12" ht="39">
      <c r="A18" s="10" t="s">
        <v>142</v>
      </c>
      <c r="B18" s="10" t="s">
        <v>45</v>
      </c>
      <c r="C18" s="10" t="s">
        <v>46</v>
      </c>
      <c r="D18" s="10" t="s">
        <v>92</v>
      </c>
      <c r="E18" s="11" t="s">
        <v>114</v>
      </c>
      <c r="F18" s="11" t="s">
        <v>131</v>
      </c>
      <c r="G18" s="11" t="s">
        <v>129</v>
      </c>
      <c r="H18" s="11" t="s">
        <v>129</v>
      </c>
      <c r="I18" s="10" t="s">
        <v>2</v>
      </c>
      <c r="J18" s="10"/>
      <c r="K18" s="10" t="s">
        <v>81</v>
      </c>
      <c r="L18" s="16">
        <v>46278</v>
      </c>
    </row>
    <row r="19" spans="1:12" ht="51.75">
      <c r="A19" s="10" t="s">
        <v>143</v>
      </c>
      <c r="B19" s="10" t="s">
        <v>45</v>
      </c>
      <c r="C19" s="10" t="s">
        <v>46</v>
      </c>
      <c r="D19" s="10" t="s">
        <v>92</v>
      </c>
      <c r="E19" s="11" t="s">
        <v>114</v>
      </c>
      <c r="F19" s="11" t="s">
        <v>130</v>
      </c>
      <c r="G19" s="11" t="s">
        <v>132</v>
      </c>
      <c r="H19" s="11" t="s">
        <v>132</v>
      </c>
      <c r="I19" s="10" t="s">
        <v>2</v>
      </c>
      <c r="J19" s="10"/>
      <c r="K19" s="10" t="s">
        <v>81</v>
      </c>
      <c r="L19" s="16">
        <v>46279</v>
      </c>
    </row>
    <row r="20" spans="1:12" ht="39">
      <c r="A20" s="10" t="s">
        <v>144</v>
      </c>
      <c r="B20" s="10" t="s">
        <v>45</v>
      </c>
      <c r="C20" s="10" t="s">
        <v>48</v>
      </c>
      <c r="D20" s="10" t="s">
        <v>135</v>
      </c>
      <c r="E20" s="11" t="s">
        <v>114</v>
      </c>
      <c r="F20" s="11" t="s">
        <v>133</v>
      </c>
      <c r="G20" s="11" t="s">
        <v>134</v>
      </c>
      <c r="H20" s="11" t="s">
        <v>134</v>
      </c>
      <c r="I20" s="10" t="s">
        <v>2</v>
      </c>
      <c r="J20" s="10"/>
      <c r="K20" s="10" t="s">
        <v>81</v>
      </c>
      <c r="L20" s="16">
        <v>46280</v>
      </c>
    </row>
    <row r="21" spans="1:12" ht="51.75">
      <c r="A21" s="10" t="s">
        <v>145</v>
      </c>
      <c r="B21" s="10" t="s">
        <v>45</v>
      </c>
      <c r="C21" s="10" t="s">
        <v>48</v>
      </c>
      <c r="D21" s="10" t="s">
        <v>135</v>
      </c>
      <c r="E21" s="11" t="s">
        <v>114</v>
      </c>
      <c r="F21" s="11" t="s">
        <v>136</v>
      </c>
      <c r="G21" s="11" t="s">
        <v>137</v>
      </c>
      <c r="H21" s="11" t="s">
        <v>137</v>
      </c>
      <c r="I21" s="10" t="s">
        <v>2</v>
      </c>
      <c r="J21" s="10"/>
      <c r="K21" s="10" t="s">
        <v>81</v>
      </c>
      <c r="L21" s="16">
        <v>46281</v>
      </c>
    </row>
    <row r="22" spans="1:12" ht="39">
      <c r="A22" s="10" t="s">
        <v>146</v>
      </c>
      <c r="B22" s="10" t="s">
        <v>45</v>
      </c>
      <c r="C22" s="6" t="s">
        <v>50</v>
      </c>
      <c r="D22" s="10" t="s">
        <v>92</v>
      </c>
      <c r="E22" s="11" t="s">
        <v>114</v>
      </c>
      <c r="F22" s="11" t="s">
        <v>150</v>
      </c>
      <c r="G22" s="11" t="s">
        <v>138</v>
      </c>
      <c r="H22" s="11" t="s">
        <v>138</v>
      </c>
      <c r="I22" s="10" t="s">
        <v>2</v>
      </c>
      <c r="J22" s="10"/>
      <c r="K22" s="10" t="s">
        <v>88</v>
      </c>
      <c r="L22" s="16">
        <v>46282</v>
      </c>
    </row>
    <row r="23" spans="1:12" ht="39">
      <c r="A23" s="10" t="s">
        <v>147</v>
      </c>
      <c r="B23" s="10" t="s">
        <v>45</v>
      </c>
      <c r="C23" s="6" t="s">
        <v>50</v>
      </c>
      <c r="D23" s="10" t="s">
        <v>92</v>
      </c>
      <c r="E23" s="11" t="s">
        <v>114</v>
      </c>
      <c r="F23" s="11" t="s">
        <v>149</v>
      </c>
      <c r="G23" s="11" t="s">
        <v>138</v>
      </c>
      <c r="H23" s="11" t="s">
        <v>138</v>
      </c>
      <c r="I23" s="10" t="s">
        <v>2</v>
      </c>
      <c r="J23" s="10"/>
      <c r="K23" s="10" t="s">
        <v>88</v>
      </c>
      <c r="L23" s="16">
        <v>46283</v>
      </c>
    </row>
    <row r="24" spans="1:12" ht="26.25">
      <c r="A24" s="10" t="s">
        <v>148</v>
      </c>
      <c r="B24" s="10" t="s">
        <v>45</v>
      </c>
      <c r="C24" s="6" t="s">
        <v>36</v>
      </c>
      <c r="D24" s="10" t="s">
        <v>92</v>
      </c>
      <c r="E24" s="11" t="s">
        <v>114</v>
      </c>
      <c r="F24" s="11" t="s">
        <v>157</v>
      </c>
      <c r="G24" s="11" t="s">
        <v>158</v>
      </c>
      <c r="H24" s="11" t="s">
        <v>158</v>
      </c>
      <c r="I24" s="10" t="s">
        <v>2</v>
      </c>
      <c r="J24" s="10"/>
      <c r="K24" s="10" t="s">
        <v>93</v>
      </c>
      <c r="L24" s="16">
        <v>46284</v>
      </c>
    </row>
    <row r="25" spans="1:12" ht="51.75">
      <c r="A25" s="10" t="s">
        <v>179</v>
      </c>
      <c r="B25" s="10" t="s">
        <v>45</v>
      </c>
      <c r="C25" s="6" t="s">
        <v>48</v>
      </c>
      <c r="D25" s="10" t="s">
        <v>154</v>
      </c>
      <c r="E25" s="11" t="s">
        <v>114</v>
      </c>
      <c r="F25" s="11" t="s">
        <v>159</v>
      </c>
      <c r="G25" s="11" t="s">
        <v>160</v>
      </c>
      <c r="H25" s="11" t="s">
        <v>160</v>
      </c>
      <c r="I25" s="10" t="s">
        <v>2</v>
      </c>
      <c r="J25" s="10"/>
      <c r="K25" s="10" t="s">
        <v>88</v>
      </c>
      <c r="L25" s="16">
        <v>46285</v>
      </c>
    </row>
    <row r="26" spans="1:12">
      <c r="A26" s="13" t="s">
        <v>98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39">
      <c r="A27" s="12" t="s">
        <v>180</v>
      </c>
      <c r="B27" s="10" t="s">
        <v>54</v>
      </c>
      <c r="C27" s="6" t="s">
        <v>52</v>
      </c>
      <c r="D27" s="10" t="s">
        <v>135</v>
      </c>
      <c r="E27" s="11" t="s">
        <v>151</v>
      </c>
      <c r="F27" s="11" t="s">
        <v>152</v>
      </c>
      <c r="G27" s="11" t="s">
        <v>153</v>
      </c>
      <c r="H27" s="11" t="s">
        <v>214</v>
      </c>
      <c r="I27" s="10" t="s">
        <v>3</v>
      </c>
      <c r="J27" s="10" t="s">
        <v>221</v>
      </c>
      <c r="K27" s="10" t="s">
        <v>93</v>
      </c>
      <c r="L27" s="16">
        <v>46274</v>
      </c>
    </row>
    <row r="28" spans="1:12" ht="39">
      <c r="A28" s="12" t="s">
        <v>181</v>
      </c>
      <c r="B28" s="10" t="s">
        <v>54</v>
      </c>
      <c r="C28" s="6" t="s">
        <v>48</v>
      </c>
      <c r="D28" s="10" t="s">
        <v>154</v>
      </c>
      <c r="E28" s="11" t="s">
        <v>151</v>
      </c>
      <c r="F28" s="11" t="s">
        <v>155</v>
      </c>
      <c r="G28" s="11" t="s">
        <v>156</v>
      </c>
      <c r="H28" s="11" t="s">
        <v>156</v>
      </c>
      <c r="I28" s="10" t="s">
        <v>2</v>
      </c>
      <c r="J28" s="10"/>
      <c r="K28" s="10" t="s">
        <v>81</v>
      </c>
      <c r="L28" s="16">
        <v>46275</v>
      </c>
    </row>
    <row r="29" spans="1:12" ht="39">
      <c r="A29" s="12" t="s">
        <v>182</v>
      </c>
      <c r="B29" s="10" t="s">
        <v>54</v>
      </c>
      <c r="C29" s="6" t="s">
        <v>52</v>
      </c>
      <c r="D29" s="10" t="s">
        <v>154</v>
      </c>
      <c r="E29" s="11" t="s">
        <v>151</v>
      </c>
      <c r="F29" s="11" t="s">
        <v>161</v>
      </c>
      <c r="G29" s="11" t="s">
        <v>162</v>
      </c>
      <c r="H29" s="11" t="s">
        <v>162</v>
      </c>
      <c r="I29" s="10" t="s">
        <v>2</v>
      </c>
      <c r="J29" s="10"/>
      <c r="K29" s="10" t="s">
        <v>81</v>
      </c>
      <c r="L29" s="16">
        <v>46276</v>
      </c>
    </row>
    <row r="30" spans="1:12" ht="39">
      <c r="A30" s="12" t="s">
        <v>183</v>
      </c>
      <c r="B30" s="10" t="s">
        <v>54</v>
      </c>
      <c r="C30" s="6" t="s">
        <v>52</v>
      </c>
      <c r="D30" s="10" t="s">
        <v>154</v>
      </c>
      <c r="E30" s="10" t="s">
        <v>164</v>
      </c>
      <c r="F30" s="11" t="s">
        <v>161</v>
      </c>
      <c r="G30" s="11" t="s">
        <v>165</v>
      </c>
      <c r="H30" s="11" t="s">
        <v>162</v>
      </c>
      <c r="I30" s="10" t="s">
        <v>3</v>
      </c>
      <c r="J30" s="10" t="s">
        <v>222</v>
      </c>
      <c r="K30" s="10" t="s">
        <v>81</v>
      </c>
      <c r="L30" s="16">
        <v>46277</v>
      </c>
    </row>
    <row r="31" spans="1:12" ht="39">
      <c r="A31" s="12" t="s">
        <v>184</v>
      </c>
      <c r="B31" s="10" t="s">
        <v>54</v>
      </c>
      <c r="C31" s="6" t="s">
        <v>52</v>
      </c>
      <c r="D31" s="10" t="s">
        <v>92</v>
      </c>
      <c r="E31" s="11" t="s">
        <v>167</v>
      </c>
      <c r="F31" s="10" t="s">
        <v>166</v>
      </c>
      <c r="G31" s="11" t="s">
        <v>168</v>
      </c>
      <c r="H31" s="11" t="s">
        <v>215</v>
      </c>
      <c r="I31" s="10" t="s">
        <v>3</v>
      </c>
      <c r="J31" s="10" t="s">
        <v>223</v>
      </c>
      <c r="K31" s="10" t="s">
        <v>93</v>
      </c>
      <c r="L31" s="16">
        <v>46278</v>
      </c>
    </row>
    <row r="32" spans="1:12">
      <c r="A32" s="13" t="s">
        <v>99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64.5">
      <c r="A33" s="10" t="s">
        <v>185</v>
      </c>
      <c r="B33" s="10" t="s">
        <v>57</v>
      </c>
      <c r="C33" s="6" t="s">
        <v>55</v>
      </c>
      <c r="D33" s="10" t="s">
        <v>77</v>
      </c>
      <c r="E33" s="11" t="s">
        <v>169</v>
      </c>
      <c r="F33" s="11" t="s">
        <v>170</v>
      </c>
      <c r="G33" s="11" t="s">
        <v>203</v>
      </c>
      <c r="H33" s="11" t="s">
        <v>203</v>
      </c>
      <c r="I33" s="10" t="s">
        <v>2</v>
      </c>
      <c r="J33" s="10"/>
      <c r="K33" s="10" t="s">
        <v>81</v>
      </c>
      <c r="L33" s="16">
        <v>46276</v>
      </c>
    </row>
    <row r="34" spans="1:12" ht="64.5">
      <c r="A34" s="10" t="s">
        <v>186</v>
      </c>
      <c r="B34" s="10" t="s">
        <v>57</v>
      </c>
      <c r="C34" s="6" t="s">
        <v>58</v>
      </c>
      <c r="D34" s="10" t="s">
        <v>135</v>
      </c>
      <c r="E34" s="11" t="s">
        <v>169</v>
      </c>
      <c r="F34" s="11" t="s">
        <v>170</v>
      </c>
      <c r="G34" s="11" t="s">
        <v>204</v>
      </c>
      <c r="H34" s="11" t="s">
        <v>204</v>
      </c>
      <c r="I34" s="10" t="s">
        <v>2</v>
      </c>
      <c r="J34" s="10"/>
      <c r="K34" s="10" t="s">
        <v>81</v>
      </c>
      <c r="L34" s="16">
        <v>46277</v>
      </c>
    </row>
    <row r="35" spans="1:12" ht="64.5">
      <c r="A35" s="10" t="s">
        <v>187</v>
      </c>
      <c r="B35" s="10" t="s">
        <v>57</v>
      </c>
      <c r="C35" s="6" t="s">
        <v>55</v>
      </c>
      <c r="D35" s="10" t="s">
        <v>77</v>
      </c>
      <c r="E35" s="11" t="s">
        <v>169</v>
      </c>
      <c r="F35" s="11" t="s">
        <v>171</v>
      </c>
      <c r="G35" s="11" t="s">
        <v>216</v>
      </c>
      <c r="H35" s="11" t="s">
        <v>216</v>
      </c>
      <c r="I35" s="10" t="s">
        <v>2</v>
      </c>
      <c r="J35" s="10"/>
      <c r="K35" s="10" t="s">
        <v>88</v>
      </c>
      <c r="L35" s="16">
        <v>46278</v>
      </c>
    </row>
    <row r="36" spans="1:12" ht="64.5">
      <c r="A36" s="10" t="s">
        <v>188</v>
      </c>
      <c r="B36" s="10" t="s">
        <v>57</v>
      </c>
      <c r="C36" s="6" t="s">
        <v>55</v>
      </c>
      <c r="D36" s="10" t="s">
        <v>77</v>
      </c>
      <c r="E36" s="11" t="s">
        <v>169</v>
      </c>
      <c r="F36" s="11" t="s">
        <v>172</v>
      </c>
      <c r="G36" s="11" t="s">
        <v>217</v>
      </c>
      <c r="H36" s="11" t="s">
        <v>217</v>
      </c>
      <c r="I36" s="10" t="s">
        <v>2</v>
      </c>
      <c r="J36" s="10"/>
      <c r="K36" s="10" t="s">
        <v>88</v>
      </c>
      <c r="L36" s="16">
        <v>46279</v>
      </c>
    </row>
    <row r="37" spans="1:12" ht="64.5">
      <c r="A37" s="10" t="s">
        <v>189</v>
      </c>
      <c r="B37" s="10" t="s">
        <v>57</v>
      </c>
      <c r="C37" s="6" t="s">
        <v>55</v>
      </c>
      <c r="D37" s="10" t="s">
        <v>77</v>
      </c>
      <c r="E37" s="11" t="s">
        <v>169</v>
      </c>
      <c r="F37" s="11" t="s">
        <v>173</v>
      </c>
      <c r="G37" s="11" t="s">
        <v>218</v>
      </c>
      <c r="H37" s="11" t="s">
        <v>218</v>
      </c>
      <c r="I37" s="10" t="s">
        <v>2</v>
      </c>
      <c r="J37" s="10"/>
      <c r="K37" s="10" t="s">
        <v>88</v>
      </c>
      <c r="L37" s="16">
        <v>46280</v>
      </c>
    </row>
    <row r="38" spans="1:12" ht="64.5">
      <c r="A38" s="10" t="s">
        <v>190</v>
      </c>
      <c r="B38" s="10" t="s">
        <v>57</v>
      </c>
      <c r="C38" s="6" t="s">
        <v>55</v>
      </c>
      <c r="D38" s="10" t="s">
        <v>77</v>
      </c>
      <c r="E38" s="11" t="s">
        <v>169</v>
      </c>
      <c r="F38" s="11" t="s">
        <v>174</v>
      </c>
      <c r="G38" s="11" t="s">
        <v>175</v>
      </c>
      <c r="H38" s="11" t="s">
        <v>203</v>
      </c>
      <c r="I38" s="10" t="s">
        <v>3</v>
      </c>
      <c r="J38" s="10" t="s">
        <v>224</v>
      </c>
      <c r="K38" s="10" t="s">
        <v>81</v>
      </c>
      <c r="L38" s="16">
        <v>46281</v>
      </c>
    </row>
    <row r="39" spans="1:12" ht="64.5">
      <c r="A39" s="10" t="s">
        <v>191</v>
      </c>
      <c r="B39" s="10" t="s">
        <v>57</v>
      </c>
      <c r="C39" s="6" t="s">
        <v>55</v>
      </c>
      <c r="D39" s="10" t="s">
        <v>77</v>
      </c>
      <c r="E39" s="11" t="s">
        <v>169</v>
      </c>
      <c r="F39" s="11" t="s">
        <v>176</v>
      </c>
      <c r="G39" s="11" t="s">
        <v>175</v>
      </c>
      <c r="H39" s="11" t="s">
        <v>203</v>
      </c>
      <c r="I39" s="10" t="s">
        <v>3</v>
      </c>
      <c r="J39" s="10" t="s">
        <v>225</v>
      </c>
      <c r="K39" s="10" t="s">
        <v>81</v>
      </c>
      <c r="L39" s="16">
        <v>46282</v>
      </c>
    </row>
    <row r="40" spans="1:12" ht="64.5">
      <c r="A40" s="10" t="s">
        <v>192</v>
      </c>
      <c r="B40" s="10" t="s">
        <v>57</v>
      </c>
      <c r="C40" s="6" t="s">
        <v>55</v>
      </c>
      <c r="D40" s="10" t="s">
        <v>77</v>
      </c>
      <c r="E40" s="11" t="s">
        <v>169</v>
      </c>
      <c r="F40" s="11" t="s">
        <v>177</v>
      </c>
      <c r="G40" s="11" t="s">
        <v>175</v>
      </c>
      <c r="H40" s="11" t="s">
        <v>203</v>
      </c>
      <c r="I40" s="10" t="s">
        <v>3</v>
      </c>
      <c r="J40" s="10" t="s">
        <v>226</v>
      </c>
      <c r="K40" s="10" t="s">
        <v>81</v>
      </c>
      <c r="L40" s="16">
        <v>46283</v>
      </c>
    </row>
    <row r="41" spans="1:12" ht="64.5">
      <c r="A41" s="10" t="s">
        <v>200</v>
      </c>
      <c r="B41" s="10" t="s">
        <v>57</v>
      </c>
      <c r="C41" s="10" t="s">
        <v>206</v>
      </c>
      <c r="D41" s="10" t="s">
        <v>163</v>
      </c>
      <c r="E41" s="11" t="s">
        <v>169</v>
      </c>
      <c r="F41" s="11" t="s">
        <v>170</v>
      </c>
      <c r="G41" s="11" t="s">
        <v>219</v>
      </c>
      <c r="H41" s="11" t="s">
        <v>220</v>
      </c>
      <c r="I41" s="10" t="s">
        <v>3</v>
      </c>
      <c r="J41" s="10" t="s">
        <v>227</v>
      </c>
      <c r="K41" s="10" t="s">
        <v>93</v>
      </c>
      <c r="L41" s="16">
        <v>46284</v>
      </c>
    </row>
    <row r="42" spans="1:12" ht="64.5">
      <c r="A42" s="10" t="s">
        <v>201</v>
      </c>
      <c r="B42" s="10" t="s">
        <v>57</v>
      </c>
      <c r="C42" s="10" t="s">
        <v>206</v>
      </c>
      <c r="D42" s="10" t="s">
        <v>163</v>
      </c>
      <c r="E42" s="11" t="s">
        <v>169</v>
      </c>
      <c r="F42" s="11" t="s">
        <v>170</v>
      </c>
      <c r="G42" s="11" t="s">
        <v>178</v>
      </c>
      <c r="H42" s="11" t="s">
        <v>178</v>
      </c>
      <c r="I42" s="10" t="s">
        <v>2</v>
      </c>
      <c r="J42" s="10"/>
      <c r="K42" s="10" t="s">
        <v>93</v>
      </c>
      <c r="L42" s="16">
        <v>46285</v>
      </c>
    </row>
    <row r="43" spans="1:12" ht="64.5">
      <c r="A43" s="10" t="s">
        <v>202</v>
      </c>
      <c r="B43" s="10" t="s">
        <v>57</v>
      </c>
      <c r="C43" s="10" t="s">
        <v>60</v>
      </c>
      <c r="D43" s="10" t="s">
        <v>154</v>
      </c>
      <c r="E43" s="11" t="s">
        <v>169</v>
      </c>
      <c r="F43" s="11" t="s">
        <v>193</v>
      </c>
      <c r="G43" s="11" t="s">
        <v>194</v>
      </c>
      <c r="H43" s="11" t="s">
        <v>194</v>
      </c>
      <c r="I43" s="10" t="s">
        <v>2</v>
      </c>
      <c r="J43" s="10"/>
      <c r="K43" s="10" t="s">
        <v>88</v>
      </c>
      <c r="L43" s="16">
        <v>46286</v>
      </c>
    </row>
    <row r="44" spans="1:12" ht="64.5">
      <c r="A44" s="10" t="s">
        <v>205</v>
      </c>
      <c r="B44" s="10" t="s">
        <v>57</v>
      </c>
      <c r="C44" s="10" t="s">
        <v>60</v>
      </c>
      <c r="D44" s="10" t="s">
        <v>154</v>
      </c>
      <c r="E44" s="11" t="s">
        <v>195</v>
      </c>
      <c r="F44" s="11" t="s">
        <v>197</v>
      </c>
      <c r="G44" s="11" t="s">
        <v>196</v>
      </c>
      <c r="H44" s="11" t="s">
        <v>196</v>
      </c>
      <c r="I44" s="10" t="s">
        <v>2</v>
      </c>
      <c r="J44" s="10"/>
      <c r="K44" s="10" t="s">
        <v>81</v>
      </c>
      <c r="L44" s="16">
        <v>46287</v>
      </c>
    </row>
    <row r="45" spans="1:12" ht="64.5">
      <c r="A45" s="10" t="s">
        <v>209</v>
      </c>
      <c r="B45" s="10" t="s">
        <v>57</v>
      </c>
      <c r="C45" s="10" t="s">
        <v>206</v>
      </c>
      <c r="D45" s="10" t="s">
        <v>154</v>
      </c>
      <c r="E45" s="11" t="s">
        <v>195</v>
      </c>
      <c r="F45" s="11" t="s">
        <v>198</v>
      </c>
      <c r="G45" s="9" t="s">
        <v>199</v>
      </c>
      <c r="H45" s="9" t="s">
        <v>199</v>
      </c>
      <c r="I45" s="10" t="s">
        <v>2</v>
      </c>
      <c r="J45" s="10"/>
      <c r="K45" s="10" t="s">
        <v>93</v>
      </c>
      <c r="L45" s="16">
        <v>46288</v>
      </c>
    </row>
    <row r="46" spans="1:12">
      <c r="A46" s="10"/>
      <c r="B46" s="10"/>
      <c r="C46" s="10"/>
      <c r="D46" s="10"/>
      <c r="E46" s="11"/>
      <c r="F46" s="11"/>
      <c r="G46" s="11"/>
      <c r="H46" s="10"/>
      <c r="I46" s="10"/>
      <c r="J46" s="10"/>
      <c r="K46" s="10"/>
      <c r="L46" s="10"/>
    </row>
    <row r="47" spans="1:12">
      <c r="A47" s="3"/>
      <c r="B47" s="3"/>
      <c r="C47" s="3"/>
      <c r="D47" s="3"/>
      <c r="E47" s="7"/>
      <c r="F47" s="7"/>
      <c r="G47" s="7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7"/>
      <c r="F48" s="7"/>
      <c r="G48" s="7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7"/>
      <c r="F49" s="7"/>
      <c r="G49" s="7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7"/>
      <c r="F50" s="7"/>
      <c r="G50" s="7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7"/>
      <c r="F51" s="7"/>
      <c r="G51" s="7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7"/>
      <c r="F52" s="7"/>
      <c r="G52" s="7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7"/>
      <c r="F53" s="7"/>
      <c r="G53" s="7"/>
      <c r="H53" s="3"/>
      <c r="I53" s="3"/>
      <c r="J53" s="3"/>
      <c r="K53" s="3"/>
      <c r="L53" s="3"/>
    </row>
  </sheetData>
  <mergeCells count="4">
    <mergeCell ref="A11:L11"/>
    <mergeCell ref="A26:L26"/>
    <mergeCell ref="A32:L32"/>
    <mergeCell ref="A2:L2"/>
  </mergeCells>
  <phoneticPr fontId="6" type="noConversion"/>
  <conditionalFormatting sqref="I2:I329">
    <cfRule type="cellIs" dxfId="3" priority="2" operator="equal">
      <formula>"Pass"</formula>
    </cfRule>
    <cfRule type="cellIs" dxfId="2" priority="3" operator="equal">
      <formula>"Fail"</formula>
    </cfRule>
    <cfRule type="cellIs" dxfId="1" priority="4" operator="equal">
      <formula>"Bloqueado"</formula>
    </cfRule>
    <cfRule type="cellIs" dxfId="0" priority="5" operator="equal">
      <formula>"No ejecutado"</formula>
    </cfRule>
  </conditionalFormatting>
  <dataValidations count="3">
    <dataValidation type="list" allowBlank="1" sqref="I2:I329" xr:uid="{00000000-0002-0000-0400-000000000000}">
      <formula1>"Pass,Fail,Bloqueado,No ejecutado"</formula1>
      <formula2>0</formula2>
    </dataValidation>
    <dataValidation type="list" allowBlank="1" sqref="K2:K329" xr:uid="{00000000-0002-0000-0400-000001000000}">
      <formula1>"Alta,Media,Baja"</formula1>
      <formula2>0</formula2>
    </dataValidation>
    <dataValidation type="list" allowBlank="1" sqref="D2:D329" xr:uid="{00000000-0002-0000-0400-000002000000}">
      <formula1>"Clases de equivalencia,Valores límite,Tabla de decisión,Transición de estados,Exploratoria"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"/>
  <sheetViews>
    <sheetView zoomScale="90" zoomScaleNormal="90" workbookViewId="0">
      <pane ySplit="1" topLeftCell="A2" activePane="bottomLeft" state="frozen"/>
      <selection pane="bottomLeft" activeCell="O9" sqref="O9"/>
    </sheetView>
  </sheetViews>
  <sheetFormatPr baseColWidth="10" defaultColWidth="8.7109375" defaultRowHeight="15"/>
  <cols>
    <col min="1" max="1" width="10" customWidth="1"/>
    <col min="2" max="2" width="30" style="14" customWidth="1"/>
    <col min="3" max="3" width="12" customWidth="1"/>
    <col min="4" max="4" width="14" customWidth="1"/>
    <col min="5" max="5" width="11.42578125" bestFit="1" customWidth="1"/>
    <col min="6" max="6" width="11" customWidth="1"/>
    <col min="7" max="7" width="12" customWidth="1"/>
    <col min="8" max="8" width="37.140625" bestFit="1" customWidth="1"/>
    <col min="9" max="10" width="12" customWidth="1"/>
    <col min="11" max="11" width="34" customWidth="1"/>
    <col min="12" max="13" width="30" customWidth="1"/>
  </cols>
  <sheetData>
    <row r="1" spans="1:13" ht="45">
      <c r="A1" s="17" t="s">
        <v>33</v>
      </c>
      <c r="B1" s="17" t="s">
        <v>100</v>
      </c>
      <c r="C1" s="17" t="s">
        <v>65</v>
      </c>
      <c r="D1" s="17" t="s">
        <v>101</v>
      </c>
      <c r="E1" s="18" t="s">
        <v>102</v>
      </c>
      <c r="F1" s="17" t="s">
        <v>74</v>
      </c>
      <c r="G1" s="17" t="s">
        <v>72</v>
      </c>
      <c r="H1" s="17" t="s">
        <v>103</v>
      </c>
      <c r="I1" s="17" t="s">
        <v>104</v>
      </c>
      <c r="J1" s="17" t="s">
        <v>105</v>
      </c>
      <c r="K1" s="17" t="s">
        <v>106</v>
      </c>
      <c r="L1" s="17" t="s">
        <v>70</v>
      </c>
      <c r="M1" s="17" t="s">
        <v>107</v>
      </c>
    </row>
    <row r="2" spans="1:13" s="14" customFormat="1" ht="60">
      <c r="A2" s="19" t="s">
        <v>111</v>
      </c>
      <c r="B2" s="19" t="s">
        <v>230</v>
      </c>
      <c r="C2" s="19" t="str">
        <f>IFERROR(INDEX('Casos de Prueba'!$B$2:$B$300, MATCH($A2,'Casos de Prueba'!$J$2:$J$300,0)), "")</f>
        <v>Login</v>
      </c>
      <c r="D2" s="19" t="str">
        <f>IFERROR(INDEX('Casos de Prueba'!$A$2:$A$300, MATCH($A2,'Casos de Prueba'!$J$2:$J$300,0)), "")</f>
        <v>TC-002</v>
      </c>
      <c r="E2" s="19" t="s">
        <v>81</v>
      </c>
      <c r="F2" s="19" t="str">
        <f>IFERROR(INDEX('Casos de Prueba'!$K$2:$K$300, MATCH($A2,'Casos de Prueba'!$J$2:$J$300,0)), "")</f>
        <v>Alta</v>
      </c>
      <c r="G2" s="19" t="s">
        <v>108</v>
      </c>
      <c r="H2" s="12" t="s">
        <v>229</v>
      </c>
      <c r="I2" s="12" t="s">
        <v>228</v>
      </c>
      <c r="J2" s="20">
        <f>IFERROR(INDEX('Casos de Prueba'!$L$2:$L$300, MATCH($A2,'Casos de Prueba'!$J$2:$J$300,0)), "")</f>
        <v>46271</v>
      </c>
      <c r="K2" s="19" t="str">
        <f>IFERROR(INDEX('Casos de Prueba'!$F$2:$F$300, MATCH($A2,'Casos de Prueba'!$J$2:$J$300,0)), "")</f>
        <v>1. Ingresar 'tomsmith' en usuario
2. Ingresar 'SuperSecretPassword!' en contraseña
3. Clic en Login</v>
      </c>
      <c r="L2" s="19" t="str">
        <f>IFERROR(INDEX('Casos de Prueba'!$G$2:$G$300, MATCH($A2,'Casos de Prueba'!$J$2:$J$300,0)), "")</f>
        <v>Acceso concedido, redirección a /inventory.html</v>
      </c>
      <c r="M2" s="19" t="str">
        <f>IFERROR(IF(INDEX('Casos de Prueba'!$H$2:$H$300,MATCH($A2,'Casos de Prueba'!$J$2:$J$300,0))="","",INDEX('Casos de Prueba'!$H$2:$H$300,MATCH($A2,'Casos de Prueba'!$J$2:$J$300,0))),"")</f>
        <v>Acceso negado, mensaje de alerta "Epic sadface: Username and password do not match any user in this service"</v>
      </c>
    </row>
    <row r="3" spans="1:13" ht="60">
      <c r="A3" s="12" t="s">
        <v>221</v>
      </c>
      <c r="B3" s="19" t="s">
        <v>231</v>
      </c>
      <c r="C3" s="19" t="str">
        <f>IFERROR(INDEX('Casos de Prueba'!$B$2:$B$300, MATCH($A3,'Casos de Prueba'!$J$2:$J$300,0)), "")</f>
        <v>Cart</v>
      </c>
      <c r="D3" s="12" t="str">
        <f>IFERROR(INDEX('Casos de Prueba'!$A$2:$A$300, MATCH($A3,'Casos de Prueba'!$J$2:$J$300,0)), "")</f>
        <v>TC-023</v>
      </c>
      <c r="E3" s="12" t="s">
        <v>93</v>
      </c>
      <c r="F3" s="12" t="str">
        <f>IFERROR(INDEX('Casos de Prueba'!$K$2:$K$300, MATCH($A3,'Casos de Prueba'!$J$2:$J$300,0)), "")</f>
        <v>Baja</v>
      </c>
      <c r="G3" s="19" t="s">
        <v>108</v>
      </c>
      <c r="H3" s="12" t="s">
        <v>236</v>
      </c>
      <c r="I3" s="12" t="s">
        <v>228</v>
      </c>
      <c r="J3" s="20">
        <f>IFERROR(INDEX('Casos de Prueba'!$L$2:$L$300, MATCH($A3,'Casos de Prueba'!$J$2:$J$300,0)), "")</f>
        <v>46274</v>
      </c>
      <c r="K3" s="21" t="str">
        <f>IFERROR(INDEX('Casos de Prueba'!$F$2:$F$300, MATCH($A3,'Casos de Prueba'!$J$2:$J$300,0)), "")</f>
        <v>1. Hacer clic en el carrito
2. Hacer clic en botón "Remove"</v>
      </c>
      <c r="L3" s="19" t="str">
        <f>IFERROR(INDEX('Casos de Prueba'!$G$2:$G$300, MATCH($A3,'Casos de Prueba'!$J$2:$J$300,0)), "")</f>
        <v>El producto agregado se elimina del carrito, se muestra un mensaje "No cuenta con ningun producto"</v>
      </c>
      <c r="M3" s="19" t="str">
        <f>IFERROR(IF(INDEX('Casos de Prueba'!$H$2:$H$300,MATCH($A3,'Casos de Prueba'!$J$2:$J$300,0))="","",INDEX('Casos de Prueba'!$H$2:$H$300,MATCH($A3,'Casos de Prueba'!$J$2:$J$300,0))),"")</f>
        <v>El producto agregado se elimina del carrito, no se muestra ningun mensaje</v>
      </c>
    </row>
    <row r="4" spans="1:13" ht="45">
      <c r="A4" s="12" t="s">
        <v>222</v>
      </c>
      <c r="B4" s="19" t="s">
        <v>232</v>
      </c>
      <c r="C4" s="19" t="str">
        <f>IFERROR(INDEX('Casos de Prueba'!$B$2:$B$300, MATCH($A4,'Casos de Prueba'!$J$2:$J$300,0)), "")</f>
        <v>Cart</v>
      </c>
      <c r="D4" s="12" t="str">
        <f>IFERROR(INDEX('Casos de Prueba'!$A$2:$A$300, MATCH($A4,'Casos de Prueba'!$J$2:$J$300,0)), "")</f>
        <v>TC-026</v>
      </c>
      <c r="E4" s="12" t="s">
        <v>81</v>
      </c>
      <c r="F4" s="12" t="str">
        <f>IFERROR(INDEX('Casos de Prueba'!$K$2:$K$300, MATCH($A4,'Casos de Prueba'!$J$2:$J$300,0)), "")</f>
        <v>Alta</v>
      </c>
      <c r="G4" s="19" t="s">
        <v>108</v>
      </c>
      <c r="H4" s="12" t="s">
        <v>236</v>
      </c>
      <c r="I4" s="12" t="s">
        <v>228</v>
      </c>
      <c r="J4" s="20">
        <f>IFERROR(INDEX('Casos de Prueba'!$L$2:$L$300, MATCH($A4,'Casos de Prueba'!$J$2:$J$300,0)), "")</f>
        <v>46277</v>
      </c>
      <c r="K4" s="21" t="str">
        <f>IFERROR(INDEX('Casos de Prueba'!$F$2:$F$300, MATCH($A4,'Casos de Prueba'!$J$2:$J$300,0)), "")</f>
        <v>1. Hacer clic en el carrito
2. Hacer clic en botón "Checkout"</v>
      </c>
      <c r="L4" s="19" t="str">
        <f>IFERROR(INDEX('Casos de Prueba'!$G$2:$G$300, MATCH($A4,'Casos de Prueba'!$J$2:$J$300,0)), "")</f>
        <v>No se cambia de pagina. Mensaje "No cuentas con ningun producto en el carrito"</v>
      </c>
      <c r="M4" s="19" t="str">
        <f>IFERROR(IF(INDEX('Casos de Prueba'!$H$2:$H$300,MATCH($A4,'Casos de Prueba'!$J$2:$J$300,0))="","",INDEX('Casos de Prueba'!$H$2:$H$300,MATCH($A4,'Casos de Prueba'!$J$2:$J$300,0))),"")</f>
        <v>La página cambia a /checkout-step-one.html</v>
      </c>
    </row>
    <row r="5" spans="1:13" ht="45">
      <c r="A5" s="12" t="s">
        <v>223</v>
      </c>
      <c r="B5" s="19" t="s">
        <v>231</v>
      </c>
      <c r="C5" s="19" t="str">
        <f>IFERROR(INDEX('Casos de Prueba'!$B$2:$B$300, MATCH($A5,'Casos de Prueba'!$J$2:$J$300,0)), "")</f>
        <v>Cart</v>
      </c>
      <c r="D5" s="12" t="str">
        <f>IFERROR(INDEX('Casos de Prueba'!$A$2:$A$300, MATCH($A5,'Casos de Prueba'!$J$2:$J$300,0)), "")</f>
        <v>TC-027</v>
      </c>
      <c r="E5" s="12" t="s">
        <v>93</v>
      </c>
      <c r="F5" s="12" t="str">
        <f>IFERROR(INDEX('Casos de Prueba'!$K$2:$K$300, MATCH($A5,'Casos de Prueba'!$J$2:$J$300,0)), "")</f>
        <v>Baja</v>
      </c>
      <c r="G5" s="19" t="s">
        <v>108</v>
      </c>
      <c r="H5" s="12" t="s">
        <v>236</v>
      </c>
      <c r="I5" s="12" t="s">
        <v>228</v>
      </c>
      <c r="J5" s="20">
        <f>IFERROR(INDEX('Casos de Prueba'!$L$2:$L$300, MATCH($A5,'Casos de Prueba'!$J$2:$J$300,0)), "")</f>
        <v>46278</v>
      </c>
      <c r="K5" s="21" t="str">
        <f>IFERROR(INDEX('Casos de Prueba'!$F$2:$F$300, MATCH($A5,'Casos de Prueba'!$J$2:$J$300,0)), "")</f>
        <v>1. Hacer clic en el carrito</v>
      </c>
      <c r="L5" s="19" t="str">
        <f>IFERROR(INDEX('Casos de Prueba'!$G$2:$G$300, MATCH($A5,'Casos de Prueba'!$J$2:$J$300,0)), "")</f>
        <v>No se cuenta con productos. Mensaje "Tu carrito se encuentra vacío"</v>
      </c>
      <c r="M5" s="19" t="str">
        <f>IFERROR(IF(INDEX('Casos de Prueba'!$H$2:$H$300,MATCH($A5,'Casos de Prueba'!$J$2:$J$300,0))="","",INDEX('Casos de Prueba'!$H$2:$H$300,MATCH($A5,'Casos de Prueba'!$J$2:$J$300,0))),"")</f>
        <v>No se cuenta con productos. No se cuenta con ningun mensaje</v>
      </c>
    </row>
    <row r="6" spans="1:13" ht="60">
      <c r="A6" s="12" t="s">
        <v>224</v>
      </c>
      <c r="B6" s="19" t="s">
        <v>234</v>
      </c>
      <c r="C6" s="19" t="str">
        <f>IFERROR(INDEX('Casos de Prueba'!$B$2:$B$300, MATCH($A6,'Casos de Prueba'!$J$2:$J$300,0)), "")</f>
        <v>Checkout</v>
      </c>
      <c r="D6" s="12" t="str">
        <f>IFERROR(INDEX('Casos de Prueba'!$A$2:$A$300, MATCH($A6,'Casos de Prueba'!$J$2:$J$300,0)), "")</f>
        <v>TC-033</v>
      </c>
      <c r="E6" s="12" t="s">
        <v>233</v>
      </c>
      <c r="F6" s="12" t="str">
        <f>IFERROR(INDEX('Casos de Prueba'!$K$2:$K$300, MATCH($A6,'Casos de Prueba'!$J$2:$J$300,0)), "")</f>
        <v>Alta</v>
      </c>
      <c r="G6" s="19" t="s">
        <v>108</v>
      </c>
      <c r="H6" s="19" t="s">
        <v>237</v>
      </c>
      <c r="I6" s="12" t="s">
        <v>228</v>
      </c>
      <c r="J6" s="20">
        <f>IFERROR(INDEX('Casos de Prueba'!$L$2:$L$300, MATCH($A6,'Casos de Prueba'!$J$2:$J$300,0)), "")</f>
        <v>46281</v>
      </c>
      <c r="K6" s="21" t="str">
        <f>IFERROR(INDEX('Casos de Prueba'!$F$2:$F$300, MATCH($A6,'Casos de Prueba'!$J$2:$J$300,0)), "")</f>
        <v>1. Ingresar nombre "0000"
2. Ingresar apellido "Lopez"
3. Ingresar zip "12345"
4. Hacer clic en botón "Continue"</v>
      </c>
      <c r="L6" s="19" t="str">
        <f>IFERROR(INDEX('Casos de Prueba'!$G$2:$G$300, MATCH($A6,'Casos de Prueba'!$J$2:$J$300,0)), "")</f>
        <v>La pagina no cambia. Mensaje de error "Campo con datos no validos"</v>
      </c>
      <c r="M6" s="19" t="str">
        <f>IFERROR(IF(INDEX('Casos de Prueba'!$H$2:$H$300,MATCH($A6,'Casos de Prueba'!$J$2:$J$300,0))="","",INDEX('Casos de Prueba'!$H$2:$H$300,MATCH($A6,'Casos de Prueba'!$J$2:$J$300,0))),"")</f>
        <v>La pagina cambia a /checkout-step-two.
Se muestra informacion del envio</v>
      </c>
    </row>
    <row r="7" spans="1:13" ht="60">
      <c r="A7" s="12" t="s">
        <v>225</v>
      </c>
      <c r="B7" s="19" t="s">
        <v>234</v>
      </c>
      <c r="C7" s="19" t="str">
        <f>IFERROR(INDEX('Casos de Prueba'!$B$2:$B$300, MATCH($A7,'Casos de Prueba'!$J$2:$J$300,0)), "")</f>
        <v>Checkout</v>
      </c>
      <c r="D7" s="12" t="str">
        <f>IFERROR(INDEX('Casos de Prueba'!$A$2:$A$300, MATCH($A7,'Casos de Prueba'!$J$2:$J$300,0)), "")</f>
        <v>TC-034</v>
      </c>
      <c r="E7" s="12" t="s">
        <v>233</v>
      </c>
      <c r="F7" s="12" t="str">
        <f>IFERROR(INDEX('Casos de Prueba'!$K$2:$K$300, MATCH($A7,'Casos de Prueba'!$J$2:$J$300,0)), "")</f>
        <v>Alta</v>
      </c>
      <c r="G7" s="19" t="s">
        <v>108</v>
      </c>
      <c r="H7" s="19" t="s">
        <v>237</v>
      </c>
      <c r="I7" s="12" t="s">
        <v>228</v>
      </c>
      <c r="J7" s="20">
        <f>IFERROR(INDEX('Casos de Prueba'!$L$2:$L$300, MATCH($A7,'Casos de Prueba'!$J$2:$J$300,0)), "")</f>
        <v>46282</v>
      </c>
      <c r="K7" s="21" t="str">
        <f>IFERROR(INDEX('Casos de Prueba'!$F$2:$F$300, MATCH($A7,'Casos de Prueba'!$J$2:$J$300,0)), "")</f>
        <v>1. Ingresar nombre "Juan"
2. Ingresar apellido "0000"
3. Ingresar zip "12345"
4. Hacer clic en botón "Continue"</v>
      </c>
      <c r="L7" s="19" t="str">
        <f>IFERROR(INDEX('Casos de Prueba'!$G$2:$G$300, MATCH($A7,'Casos de Prueba'!$J$2:$J$300,0)), "")</f>
        <v>La pagina no cambia. Mensaje de error "Campo con datos no validos"</v>
      </c>
      <c r="M7" s="19" t="str">
        <f>IFERROR(IF(INDEX('Casos de Prueba'!$H$2:$H$300,MATCH($A7,'Casos de Prueba'!$J$2:$J$300,0))="","",INDEX('Casos de Prueba'!$H$2:$H$300,MATCH($A7,'Casos de Prueba'!$J$2:$J$300,0))),"")</f>
        <v>La pagina cambia a /checkout-step-two.
Se muestra informacion del envio</v>
      </c>
    </row>
    <row r="8" spans="1:13" ht="60">
      <c r="A8" s="12" t="s">
        <v>226</v>
      </c>
      <c r="B8" s="19" t="s">
        <v>234</v>
      </c>
      <c r="C8" s="19" t="str">
        <f>IFERROR(INDEX('Casos de Prueba'!$B$2:$B$300, MATCH($A8,'Casos de Prueba'!$J$2:$J$300,0)), "")</f>
        <v>Checkout</v>
      </c>
      <c r="D8" s="12" t="str">
        <f>IFERROR(INDEX('Casos de Prueba'!$A$2:$A$300, MATCH($A8,'Casos de Prueba'!$J$2:$J$300,0)), "")</f>
        <v>TC-035</v>
      </c>
      <c r="E8" s="12" t="s">
        <v>233</v>
      </c>
      <c r="F8" s="12" t="str">
        <f>IFERROR(INDEX('Casos de Prueba'!$K$2:$K$300, MATCH($A8,'Casos de Prueba'!$J$2:$J$300,0)), "")</f>
        <v>Alta</v>
      </c>
      <c r="G8" s="19" t="s">
        <v>108</v>
      </c>
      <c r="H8" s="19" t="s">
        <v>237</v>
      </c>
      <c r="I8" s="12" t="s">
        <v>228</v>
      </c>
      <c r="J8" s="20">
        <f>IFERROR(INDEX('Casos de Prueba'!$L$2:$L$300, MATCH($A8,'Casos de Prueba'!$J$2:$J$300,0)), "")</f>
        <v>46283</v>
      </c>
      <c r="K8" s="21" t="str">
        <f>IFERROR(INDEX('Casos de Prueba'!$F$2:$F$300, MATCH($A8,'Casos de Prueba'!$J$2:$J$300,0)), "")</f>
        <v>1. Ingresar nombre "0000"
2. Ingresar apellido "Lopez"
3. Ingresar zip "dostrescuatro"
4. Hacer clic en botón "Continue"</v>
      </c>
      <c r="L8" s="19" t="str">
        <f>IFERROR(INDEX('Casos de Prueba'!$G$2:$G$300, MATCH($A8,'Casos de Prueba'!$J$2:$J$300,0)), "")</f>
        <v>La pagina no cambia. Mensaje de error "Campo con datos no validos"</v>
      </c>
      <c r="M8" s="19" t="str">
        <f>IFERROR(IF(INDEX('Casos de Prueba'!$H$2:$H$300,MATCH($A8,'Casos de Prueba'!$J$2:$J$300,0))="","",INDEX('Casos de Prueba'!$H$2:$H$300,MATCH($A8,'Casos de Prueba'!$J$2:$J$300,0))),"")</f>
        <v>La pagina cambia a /checkout-step-two.
Se muestra informacion del envio</v>
      </c>
    </row>
    <row r="9" spans="1:13" ht="51.75">
      <c r="A9" s="12" t="s">
        <v>227</v>
      </c>
      <c r="B9" s="19" t="s">
        <v>235</v>
      </c>
      <c r="C9" s="19" t="str">
        <f>IFERROR(INDEX('Casos de Prueba'!$B$2:$B$300, MATCH($A9,'Casos de Prueba'!$J$2:$J$300,0)), "")</f>
        <v>Checkout</v>
      </c>
      <c r="D9" s="12" t="str">
        <f>IFERROR(INDEX('Casos de Prueba'!$A$2:$A$300, MATCH($A9,'Casos de Prueba'!$J$2:$J$300,0)), "")</f>
        <v>TC-036</v>
      </c>
      <c r="E9" s="12" t="s">
        <v>88</v>
      </c>
      <c r="F9" s="12" t="str">
        <f>IFERROR(INDEX('Casos de Prueba'!$K$2:$K$300, MATCH($A9,'Casos de Prueba'!$J$2:$J$300,0)), "")</f>
        <v>Baja</v>
      </c>
      <c r="G9" s="19" t="s">
        <v>108</v>
      </c>
      <c r="H9" s="19" t="s">
        <v>237</v>
      </c>
      <c r="I9" s="12" t="s">
        <v>228</v>
      </c>
      <c r="J9" s="20">
        <f>IFERROR(INDEX('Casos de Prueba'!$L$2:$L$300, MATCH($A9,'Casos de Prueba'!$J$2:$J$300,0)), "")</f>
        <v>46284</v>
      </c>
      <c r="K9" s="21" t="str">
        <f>IFERROR(INDEX('Casos de Prueba'!$F$2:$F$300, MATCH($A9,'Casos de Prueba'!$J$2:$J$300,0)), "")</f>
        <v>1. Ingresar nombre "Juan"
2. Ingresar apellido "Lopez"
3. Ingresar zip "12345"
4. Hacer clic en botón "Continue"</v>
      </c>
      <c r="L9" s="19" t="str">
        <f>IFERROR(INDEX('Casos de Prueba'!$G$2:$G$300, MATCH($A9,'Casos de Prueba'!$J$2:$J$300,0)), "")</f>
        <v>Hacer clic en boton "Cancel" regresa al carrito</v>
      </c>
      <c r="M9" s="19" t="str">
        <f>IFERROR(IF(INDEX('Casos de Prueba'!$H$2:$H$300,MATCH($A9,'Casos de Prueba'!$J$2:$J$300,0))="","",INDEX('Casos de Prueba'!$H$2:$H$300,MATCH($A9,'Casos de Prueba'!$J$2:$J$300,0))),"")</f>
        <v>Hacer clic en boton "Cancel" regresa pagina inventario</v>
      </c>
    </row>
  </sheetData>
  <phoneticPr fontId="6" type="noConversion"/>
  <dataValidations count="3">
    <dataValidation type="list" allowBlank="1" sqref="E2:E299" xr:uid="{00000000-0002-0000-0500-000000000000}">
      <formula1>"Crítica,Alta,Media,Baja"</formula1>
      <formula2>0</formula2>
    </dataValidation>
    <dataValidation type="list" allowBlank="1" sqref="F10:F299" xr:uid="{00000000-0002-0000-0500-000001000000}">
      <formula1>"Alta,Media,Baja"</formula1>
      <formula2>0</formula2>
    </dataValidation>
    <dataValidation type="list" allowBlank="1" sqref="G2:G299" xr:uid="{00000000-0002-0000-0500-000002000000}">
      <formula1>"Abierto,En revisión,Cerrado"</formula1>
      <formula2>0</formula2>
    </dataValidation>
  </dataValidations>
  <hyperlinks>
    <hyperlink ref="H2" r:id="rId1" xr:uid="{538B6F27-A203-4D8E-83FD-E83F91EA1946}"/>
    <hyperlink ref="H3" r:id="rId2" xr:uid="{6919CADD-32DB-4A4D-A15E-E855AF62C291}"/>
    <hyperlink ref="H4:H5" r:id="rId3" display="https://www.saucedemo.com/cart.html" xr:uid="{6343FA1C-3FE0-4871-BD3D-D9E9C75FEB0B}"/>
    <hyperlink ref="H6" r:id="rId4" xr:uid="{56E9CD45-529D-4718-8C8D-4EC1F492CF63}"/>
    <hyperlink ref="H7:H9" r:id="rId5" display="https://www.saucedemo.com/checkout-step-one.html" xr:uid="{178D98A7-0683-47FE-A56A-814086103E8A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Instrucciones</vt:lpstr>
      <vt:lpstr>Requisitos</vt:lpstr>
      <vt:lpstr>Matriz de Trazabilidad</vt:lpstr>
      <vt:lpstr>Casos de Prueba</vt:lpstr>
      <vt:lpstr>Bitácora de 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Mario Victorio</cp:lastModifiedBy>
  <cp:revision>1</cp:revision>
  <dcterms:created xsi:type="dcterms:W3CDTF">2026-09-05T16:18:20Z</dcterms:created>
  <dcterms:modified xsi:type="dcterms:W3CDTF">2026-09-15T21:35:19Z</dcterms:modified>
  <dc:language>en-US</dc:language>
</cp:coreProperties>
</file>